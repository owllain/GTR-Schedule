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cascante\Downloads\"/>
    </mc:Choice>
  </mc:AlternateContent>
  <xr:revisionPtr revIDLastSave="0" documentId="13_ncr:1_{5D5E60F9-5652-4160-BED2-9DBE4C94CB97}" xr6:coauthVersionLast="47" xr6:coauthVersionMax="47" xr10:uidLastSave="{00000000-0000-0000-0000-000000000000}"/>
  <bookViews>
    <workbookView xWindow="23880" yWindow="-60" windowWidth="24240" windowHeight="13140" firstSheet="2" activeTab="2" xr2:uid="{18E3921B-51B3-47E4-B76B-17948884EFD1}"/>
  </bookViews>
  <sheets>
    <sheet name="Hoja2" sheetId="4" state="hidden" r:id="rId1"/>
    <sheet name="Gina Paola_machote" sheetId="6" state="hidden" r:id="rId2"/>
    <sheet name="Horarios" sheetId="1" r:id="rId3"/>
    <sheet name="Rol" sheetId="2" r:id="rId4"/>
  </sheets>
  <definedNames>
    <definedName name="_xlnm._FilterDatabase" localSheetId="2" hidden="1">Horarios!$B$45:$AC$45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3" i="1" l="1"/>
  <c r="AC213" i="1"/>
  <c r="AN179" i="1"/>
  <c r="AO188" i="1"/>
  <c r="AN188" i="1"/>
  <c r="AM188" i="1"/>
  <c r="AL188" i="1"/>
  <c r="AK188" i="1"/>
  <c r="AL161" i="1"/>
  <c r="AM161" i="1"/>
  <c r="AN161" i="1"/>
  <c r="AO161" i="1"/>
  <c r="AK161" i="1"/>
  <c r="AL170" i="1"/>
  <c r="AM170" i="1"/>
  <c r="AN170" i="1"/>
  <c r="AO170" i="1"/>
  <c r="AK170" i="1"/>
  <c r="AO179" i="1"/>
  <c r="AL179" i="1"/>
  <c r="AM179" i="1"/>
  <c r="AK179" i="1"/>
  <c r="AC202" i="1" l="1"/>
  <c r="Z202" i="1"/>
  <c r="W202" i="1"/>
  <c r="T202" i="1"/>
  <c r="Q202" i="1"/>
  <c r="N202" i="1"/>
  <c r="K202" i="1"/>
  <c r="H202" i="1"/>
  <c r="AC193" i="1"/>
  <c r="Z193" i="1"/>
  <c r="W193" i="1"/>
  <c r="T193" i="1"/>
  <c r="Q193" i="1"/>
  <c r="N193" i="1"/>
  <c r="K193" i="1"/>
  <c r="H193" i="1"/>
  <c r="AC184" i="1"/>
  <c r="Z184" i="1"/>
  <c r="W184" i="1"/>
  <c r="T184" i="1"/>
  <c r="Q184" i="1"/>
  <c r="N184" i="1"/>
  <c r="K184" i="1"/>
  <c r="H184" i="1"/>
  <c r="AC175" i="1"/>
  <c r="Z175" i="1"/>
  <c r="W175" i="1"/>
  <c r="T175" i="1"/>
  <c r="Q175" i="1"/>
  <c r="N175" i="1"/>
  <c r="K175" i="1"/>
  <c r="H175" i="1"/>
  <c r="T150" i="1" l="1"/>
  <c r="K166" i="1"/>
  <c r="K158" i="1"/>
  <c r="K150" i="1"/>
  <c r="K142" i="1"/>
  <c r="K134" i="1"/>
  <c r="AC166" i="1"/>
  <c r="Z166" i="1"/>
  <c r="W166" i="1"/>
  <c r="T166" i="1"/>
  <c r="N166" i="1"/>
  <c r="Q166" i="1"/>
  <c r="H166" i="1"/>
  <c r="AC158" i="1"/>
  <c r="Z158" i="1"/>
  <c r="W158" i="1"/>
  <c r="T158" i="1"/>
  <c r="N158" i="1"/>
  <c r="Q158" i="1"/>
  <c r="H158" i="1"/>
  <c r="AC150" i="1"/>
  <c r="Z150" i="1"/>
  <c r="W150" i="1"/>
  <c r="N150" i="1"/>
  <c r="Q150" i="1"/>
  <c r="H150" i="1"/>
  <c r="AC142" i="1"/>
  <c r="Z142" i="1"/>
  <c r="W142" i="1"/>
  <c r="T142" i="1"/>
  <c r="N142" i="1"/>
  <c r="Q142" i="1"/>
  <c r="H142" i="1"/>
  <c r="W116" i="1"/>
  <c r="W98" i="1"/>
  <c r="Z116" i="1"/>
  <c r="AC134" i="1" l="1"/>
  <c r="Z134" i="1"/>
  <c r="W134" i="1"/>
  <c r="T134" i="1"/>
  <c r="N134" i="1"/>
  <c r="Q134" i="1"/>
  <c r="H134" i="1"/>
  <c r="AC125" i="1"/>
  <c r="Z125" i="1"/>
  <c r="W125" i="1"/>
  <c r="T125" i="1"/>
  <c r="N125" i="1"/>
  <c r="Q125" i="1"/>
  <c r="H125" i="1"/>
  <c r="AC116" i="1"/>
  <c r="T116" i="1"/>
  <c r="N116" i="1"/>
  <c r="Q116" i="1"/>
  <c r="H116" i="1"/>
  <c r="AC107" i="1"/>
  <c r="Z107" i="1"/>
  <c r="W107" i="1"/>
  <c r="T107" i="1"/>
  <c r="N107" i="1"/>
  <c r="Q107" i="1"/>
  <c r="H107" i="1"/>
  <c r="AC98" i="1"/>
  <c r="Z98" i="1"/>
  <c r="T98" i="1"/>
  <c r="N98" i="1"/>
  <c r="Q98" i="1"/>
  <c r="H98" i="1"/>
  <c r="AC89" i="1"/>
  <c r="Z89" i="1"/>
  <c r="W89" i="1"/>
  <c r="T89" i="1"/>
  <c r="N89" i="1"/>
  <c r="Q89" i="1"/>
  <c r="H89" i="1"/>
  <c r="AC80" i="1"/>
  <c r="Z80" i="1"/>
  <c r="W80" i="1"/>
  <c r="T80" i="1"/>
  <c r="N80" i="1"/>
  <c r="Q80" i="1"/>
  <c r="H80" i="1"/>
  <c r="W71" i="1"/>
  <c r="AC71" i="1"/>
  <c r="Z71" i="1"/>
  <c r="T71" i="1"/>
  <c r="N71" i="1"/>
  <c r="Q71" i="1"/>
  <c r="H71" i="1"/>
  <c r="AG62" i="1"/>
  <c r="AC62" i="1"/>
  <c r="Z62" i="1"/>
  <c r="W62" i="1"/>
  <c r="T62" i="1"/>
  <c r="N62" i="1"/>
  <c r="Q62" i="1"/>
  <c r="H62" i="1"/>
  <c r="D28" i="6" l="1"/>
  <c r="D19" i="6"/>
  <c r="AG53" i="1"/>
  <c r="AC53" i="1"/>
  <c r="Z53" i="1"/>
  <c r="W53" i="1"/>
  <c r="T53" i="1"/>
  <c r="N53" i="1"/>
  <c r="Q53" i="1"/>
  <c r="H53" i="1"/>
  <c r="E53" i="1"/>
  <c r="D10" i="6" l="1"/>
  <c r="AE18" i="4" l="1"/>
  <c r="AB18" i="4"/>
  <c r="Y18" i="4"/>
  <c r="V18" i="4"/>
  <c r="S18" i="4"/>
  <c r="P18" i="4"/>
  <c r="M18" i="4"/>
  <c r="G18" i="4"/>
  <c r="D18" i="4"/>
  <c r="AE9" i="4"/>
  <c r="AB9" i="4"/>
  <c r="Y9" i="4"/>
  <c r="V9" i="4"/>
  <c r="S9" i="4"/>
  <c r="P9" i="4"/>
  <c r="M9" i="4"/>
  <c r="G9" i="4"/>
  <c r="D9" i="4"/>
  <c r="AF41" i="1" l="1"/>
  <c r="AF33" i="1"/>
  <c r="AF25" i="1"/>
  <c r="AF17" i="1"/>
  <c r="AF9" i="1"/>
  <c r="N33" i="1" l="1"/>
  <c r="Q41" i="1" l="1"/>
  <c r="Q33" i="1"/>
  <c r="N41" i="1" l="1"/>
  <c r="AC41" i="1"/>
  <c r="Z41" i="1"/>
  <c r="H41" i="1"/>
  <c r="T41" i="1"/>
  <c r="AC33" i="1"/>
  <c r="Z33" i="1"/>
  <c r="H33" i="1"/>
  <c r="T33" i="1"/>
  <c r="AC25" i="1"/>
  <c r="N25" i="1"/>
  <c r="Q25" i="1"/>
  <c r="Z25" i="1"/>
  <c r="H25" i="1"/>
  <c r="T25" i="1"/>
  <c r="AC17" i="1"/>
  <c r="Z17" i="1"/>
  <c r="H17" i="1"/>
  <c r="N17" i="1"/>
  <c r="T17" i="1"/>
  <c r="Q17" i="1"/>
  <c r="Z9" i="1"/>
  <c r="H9" i="1"/>
  <c r="N9" i="1"/>
  <c r="T9" i="1"/>
  <c r="Q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tc={9F420F3E-2FE7-4760-861B-FAAA11F47C27}</author>
  </authors>
  <commentList>
    <comment ref="X6" authorId="0" shapeId="0" xr:uid="{9F420F3E-2FE7-4760-861B-FAAA11F47C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permiso de tema personal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tc={35149F21-1D35-43F3-9000-B565A361E6A3}</author>
    <author>tc={D20841ED-4A2F-415D-85A4-70A1A202DC73}</author>
  </authors>
  <commentList>
    <comment ref="C6" authorId="0" shapeId="0" xr:uid="{35149F21-1D35-43F3-9000-B565A361E6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 en COL</t>
      </text>
    </comment>
    <comment ref="C32" authorId="1" shapeId="0" xr:uid="{D20841ED-4A2F-415D-85A4-70A1A202DC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horario 11am - 19pm
Respuesta:
    VACACIONES POR EMERGENCIA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Rojas Varela</author>
    <author>tc={9D2099DF-382D-4B7E-872A-95512666EE9D}</author>
    <author>tc={B3920081-E111-4C47-9A9D-20B5DC53F35F}</author>
    <author>tc={A321AAD3-E1A0-4BB7-9411-3DCB786AF189}</author>
    <author>tc={81D72CBB-80E7-4534-AF4C-136DE352D768}</author>
    <author>tc={AA1D3F4F-29D6-4779-90D3-B2197B89AC9E}</author>
    <author>tc={B22F12AE-4070-4EBF-BD08-44CEF4E6E44C}</author>
    <author>tc={7ECE134F-1960-4C4C-9644-3C195A7129B4}</author>
    <author>tc={349295B4-08B4-4CA7-8BCC-9D7A97FE89FE}</author>
    <author>tc={48C3F479-273F-4950-94A2-8E90CC08B5BD}</author>
    <author>tc={2A4C67D6-4B0C-4F48-87E8-24936F4509A3}</author>
    <author>tc={1D3F0DD2-5AB0-4AA4-B55C-939BDEC86581}</author>
    <author>tc={CD1FBFA0-8FD7-464A-BC25-1DCAAD443B80}</author>
    <author>tc={D980AF41-9184-456E-8EC2-DA7F8063D2FC}</author>
    <author>tc={64061EEC-EDB9-4045-A3E5-F67E0E6BFD2F}</author>
    <author>tc={94963350-CBBA-4109-B3E5-606EE9ED5F60}</author>
    <author>tc={BCA0A11B-641C-4022-BF27-76ADDB9A86FD}</author>
    <author>tc={A3AE52FB-4F2F-412B-A8CB-27933CA8B0F3}</author>
    <author>tc={79731B5D-4615-4054-97FC-88C116FF9AD9}</author>
    <author>tc={93B79071-49F5-42A7-8010-4F3FDD42F948}</author>
    <author>tc={46127DE0-FAF7-4DAF-9A67-43B8D70B236C}</author>
    <author>tc={6E3AAA98-9575-4C36-AE4B-55788F28A0D2}</author>
    <author>tc={834CC4DC-40AC-4E41-9369-5BBD96C297FB}</author>
    <author>tc={5D2B515A-1D8C-453E-A2C4-AAD216736859}</author>
    <author>tc={06E2B6F3-F499-424A-A6DC-6C7F87B6E091}</author>
    <author>tc={2DDAA8DA-38D0-4CF8-B0ED-CBEB7CF1336A}</author>
    <author>tc={5A7BBBBC-7CB4-4BC7-9296-07A9A11175ED}</author>
    <author>tc={A79106C1-38DE-4D35-93A9-CE4F15E9E323}</author>
    <author>tc={8BF5CD00-4C53-4552-A563-9FAF561C6AD8}</author>
    <author>tc={03057D5F-8C4F-42D8-819B-973C5E463660}</author>
    <author>tc={83D40EF1-06D8-4B09-9219-8EB66E1D76C3}</author>
    <author>tc={BBE86B76-75C4-4BE0-B48F-8F7DBD7DEC3C}</author>
    <author>tc={F3783D06-8773-4098-B2A4-7932D89B44BF}</author>
    <author>tc={ECDD9E24-40E2-4A3D-96BC-C8ED6C279BC5}</author>
    <author>tc={D77181C0-28D8-438A-8200-D48942E4768D}</author>
    <author>tc={E8B76739-A91B-49B2-BE7E-B4973C884A12}</author>
    <author>tc={65807D7D-ADEA-4CEC-9A84-A101735E390B}</author>
    <author>tc={4B08EACD-92D7-46FD-849B-F8FC8CB8C3F3}</author>
    <author>tc={1EB62536-8094-4882-8EBE-161057711CB5}</author>
    <author>tc={A3B185FA-2035-4EFE-80AE-AD8304C63DD4}</author>
    <author>tc={31067A1E-EAC6-421D-8474-1B1D8816D66B}</author>
    <author>tc={D1534F43-B11A-477A-A369-45001E0D87FC}</author>
    <author>tc={B651E4AA-E8AA-4E93-816D-21B10905A8B6}</author>
    <author>tc={4A2CDBC8-1035-42EA-A914-EC49E1A3E383}</author>
    <author>tc={57C024E2-B777-46D7-97B0-7AFAFD1F7C80}</author>
    <author>tc={1A9A92EB-81BA-4B96-9356-AAD0D89A299A}</author>
    <author>tc={0C002946-7824-4579-98CA-0AF05E1C70B7}</author>
    <author>tc={21092F59-00E9-4DD7-A3C3-4FE6E0454E0D}</author>
    <author>tc={DFEACB30-9801-4B45-B3E6-4AC80A45A27D}</author>
    <author>tc={B94A4AC3-73BD-4220-9E02-569841B722EB}</author>
    <author>tc={1765926F-4739-4E15-8327-5B77D5924328}</author>
    <author>tc={70ED15F9-F545-4705-8F64-B0957BB2DE1E}</author>
    <author>tc={18D8DF60-8010-4036-BF42-47C341435FBE}</author>
    <author>tc={9E9744AE-B5CF-46D5-AFF9-2C6525503B24}</author>
    <author>tc={CF531318-A6C2-4B03-BA63-5CAA57529BFF}</author>
    <author>tc={962ECEDA-2860-4A1E-ADC0-EA75B5261480}</author>
    <author>tc={C147635C-D27C-4DFF-9EBA-CBE7DFCC9B3E}</author>
    <author>tc={006ED6ED-2499-4512-B234-B7F3E07AC929}</author>
    <author>tc={96A26DB1-6740-47CA-A48D-1266AB60190F}</author>
    <author>tc={49134B98-35B4-4EED-BEE9-3DBF37583C68}</author>
    <author>tc={C78F6F88-C8D8-4E9B-842F-4AFF20B80C0B}</author>
    <author>tc={435377C6-4415-4E4F-A2E4-16C4E5528C04}</author>
    <author>tc={63CE3D70-4F13-4BB8-A2E1-AA24424AAA4C}</author>
    <author>tc={CD35DF90-2D56-4194-8252-47F72BD1ADD5}</author>
    <author>tc={CAD7BB8D-3D94-447C-864E-0D10B352FCA9}</author>
    <author>tc={B82FD9F8-285E-49E8-9A50-E205AC27A692}</author>
    <author>tc={69AB23C1-4965-4B8F-9B40-ACB94A70FCC6}</author>
    <author>tc={2ABBC4BA-CB05-4577-9DAB-418264D711B6}</author>
    <author>tc={1CCD1E22-2FC0-4684-BC69-046272FC78B9}</author>
    <author>tc={5C6AFCED-3FDB-4723-9AFB-940EC962E114}</author>
    <author>tc={D350CB4B-F1AF-4F3E-86F8-F4E0FD25DCF1}</author>
    <author>tc={B069959C-637E-4BD5-9D5F-34852AB09E9E}</author>
    <author>tc={C820FE78-F3CE-442B-8215-19DC1FDC2A33}</author>
    <author>tc={AA7716B5-38FD-4E01-8CD1-C335F9056777}</author>
    <author>tc={49453019-2DB5-4B94-B459-08347E945126}</author>
    <author>tc={24EF7D10-9759-40DD-91AA-D9A58C7757E7}</author>
    <author>tc={C2C09575-DAE2-404B-A6A0-09C4FE3EDE85}</author>
    <author>tc={742F9253-2FBC-4142-836F-DA32D93BD611}</author>
    <author>tc={706E56E5-8057-43CF-86E0-91D9DC27CCCA}</author>
    <author>tc={06F3834D-3E62-4329-A936-A7FA53A986B8}</author>
    <author>tc={7DF5CAB5-57C3-49D3-B08C-961E65BC1FE6}</author>
    <author>tc={1419E7C6-86C5-43BB-9229-B5C3671748E7}</author>
    <author>tc={30816CDF-7155-4A09-95CE-5DD139D76538}</author>
    <author>tc={CE659B02-C205-4BA6-880F-0B7FA7EE3D08}</author>
    <author>tc={C386B407-6E20-4AC0-AE36-5B92B71310CF}</author>
    <author>tc={942089DB-BB80-4737-8F76-69FCF4BA8AA4}</author>
    <author>tc={B8826298-AA29-4F63-BBD8-C4D23C03E352}</author>
    <author>tc={5932E883-3EEF-47CC-B048-84053432C87E}</author>
    <author>tc={F6FD1ED9-9945-4006-8D1B-479285646C13}</author>
    <author>tc={B678BD9F-FAB7-4022-954D-143EA8016D44}</author>
    <author>tc={9097723F-80DC-4507-9CA2-DD33BF7F361B}</author>
    <author>tc={A79E7199-9C19-449F-B243-0338422A5EE6}</author>
    <author>tc={DC4D8490-54A2-4B0B-90FC-0024A3800692}</author>
    <author>tc={D7B9275B-F8A3-49B0-8204-9424BF37CBB7}</author>
    <author>tc={837ABB78-2D38-492D-9D9D-A51F79CB701B}</author>
    <author>tc={25B10B8F-CBEF-4C4C-BBF7-694952A63307}</author>
    <author>tc={3A78F01E-007E-4E57-A2D0-7E722B6E6F6F}</author>
    <author>tc={52E9FA19-5960-4C56-B1C1-54D6F1106A06}</author>
    <author>tc={9C857760-1088-461B-92CE-05C92F191922}</author>
    <author>tc={00AA7F19-90C5-4C41-86C7-86D6D59D27E6}</author>
    <author>tc={11D619D0-74F8-4A76-82E4-062BF676F2BD}</author>
    <author>tc={249C6A80-EB2A-477B-A238-FD7EF3902B6D}</author>
    <author>tc={E08718BB-2FEB-4B39-92E3-E1A296D33B32}</author>
    <author>tc={520784E6-ED45-4197-8D9F-F7BF919F9FBF}</author>
    <author>tc={04E8D099-34DE-4C6A-82B4-99462B7C5692}</author>
    <author>tc={40F44D3F-7504-4064-B393-759B1D25A959}</author>
    <author>tc={319063EF-2C86-4801-AB0A-42082F6C491F}</author>
    <author>tc={057547CB-A907-4B55-96AF-B904AEA2327D}</author>
    <author>tc={D57C7E65-6DCF-4E8E-B8EF-21318C96C7A2}</author>
    <author>tc={6C254B4A-DB1C-435C-8C9D-634AE6FFD4BC}</author>
    <author>tc={98458DAC-6C37-44BB-958E-D304BDCD548F}</author>
    <author>tc={DCCA4EFF-5090-4A0B-8BA8-04170D3AAF49}</author>
    <author>tc={3FEABC3C-3746-4D84-8490-C82C58AC5448}</author>
    <author>tc={B5E4F1EB-E63B-468D-BD0C-548D72521127}</author>
    <author>tc={C4268EDD-CA9E-49A0-BEE0-6B12DC0354CC}</author>
  </authors>
  <commentList>
    <comment ref="Y2" authorId="0" shapeId="0" xr:uid="{B8AF6BAD-D703-46EF-9EE4-94A0AE8687AE}">
      <text>
        <r>
          <rPr>
            <b/>
            <sz val="9"/>
            <color indexed="81"/>
            <rFont val="Tahoma"/>
            <family val="2"/>
          </rPr>
          <t>Alejandro Rojas Varela:</t>
        </r>
        <r>
          <rPr>
            <sz val="9"/>
            <color indexed="81"/>
            <rFont val="Tahoma"/>
            <family val="2"/>
          </rPr>
          <t xml:space="preserve">
Vacaciones </t>
        </r>
      </text>
    </comment>
    <comment ref="Y3" authorId="0" shapeId="0" xr:uid="{442C3E1E-C537-4E4B-9A46-7E594EE6FA05}">
      <text>
        <r>
          <rPr>
            <b/>
            <sz val="9"/>
            <color indexed="81"/>
            <rFont val="Tahoma"/>
            <family val="2"/>
          </rPr>
          <t>Alejandro Rojas Varela:</t>
        </r>
        <r>
          <rPr>
            <sz val="9"/>
            <color indexed="81"/>
            <rFont val="Tahoma"/>
            <family val="2"/>
          </rPr>
          <t xml:space="preserve">
Vacaciones </t>
        </r>
      </text>
    </comment>
    <comment ref="D4" authorId="1" shapeId="0" xr:uid="{9D2099DF-382D-4B7E-872A-95512666EE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trabaja el feriado, coordinado previamente con Alejandro</t>
      </text>
    </comment>
    <comment ref="M4" authorId="0" shapeId="0" xr:uid="{5E88F460-0A75-41DB-B090-33CD0658226E}">
      <text>
        <r>
          <rPr>
            <b/>
            <sz val="9"/>
            <color indexed="81"/>
            <rFont val="Tahoma"/>
            <family val="2"/>
          </rPr>
          <t>Alejandro Rojas Varela:</t>
        </r>
        <r>
          <rPr>
            <sz val="9"/>
            <color indexed="81"/>
            <rFont val="Tahoma"/>
            <family val="2"/>
          </rPr>
          <t xml:space="preserve">
Labora feriado de 13:00 a 20:00</t>
        </r>
      </text>
    </comment>
    <comment ref="S4" authorId="0" shapeId="0" xr:uid="{3C78B668-9CF4-45E2-A0C3-62280C11A4DD}">
      <text>
        <r>
          <rPr>
            <b/>
            <sz val="9"/>
            <color indexed="81"/>
            <rFont val="Tahoma"/>
            <family val="2"/>
          </rPr>
          <t>Alejandro Rojas Varela:</t>
        </r>
        <r>
          <rPr>
            <sz val="9"/>
            <color indexed="81"/>
            <rFont val="Tahoma"/>
            <family val="2"/>
          </rPr>
          <t xml:space="preserve">
Labora feriado de 08 a 13:00</t>
        </r>
      </text>
    </comment>
    <comment ref="Y7" authorId="2" shapeId="0" xr:uid="{B3920081-E111-4C47-9A9D-20B5DC53F3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Medio día de vacaciones</t>
      </text>
    </comment>
    <comment ref="AB10" authorId="3" shapeId="0" xr:uid="{A321AAD3-E1A0-4BB7-9411-3DCB786AF1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Horario andres</t>
      </text>
    </comment>
    <comment ref="M30" authorId="4" shapeId="0" xr:uid="{81D72CBB-80E7-4534-AF4C-136DE352D76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
</t>
      </text>
    </comment>
    <comment ref="G34" authorId="5" shapeId="0" xr:uid="{AA1D3F4F-29D6-4779-90D3-B2197B89AC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Labora sab 1 feb de 1 a 6</t>
      </text>
    </comment>
    <comment ref="M34" authorId="6" shapeId="0" xr:uid="{B22F12AE-4070-4EBF-BD08-44CEF4E6E4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Toda la semana vacaciones
Debe de solicitar sabado como dia de vacaciones para completar las 48h</t>
      </text>
    </comment>
    <comment ref="Y34" authorId="7" shapeId="0" xr:uid="{7ECE134F-1960-4C4C-9644-3C195A7129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Labora sab 1 feb de 8 a 1</t>
      </text>
    </comment>
    <comment ref="AB34" authorId="8" shapeId="0" xr:uid="{349295B4-08B4-4CA7-8BCC-9D7A97FE89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Labora domingo 2 feb 8 a 12</t>
      </text>
    </comment>
    <comment ref="M35" authorId="9" shapeId="0" xr:uid="{48C3F479-273F-4950-94A2-8E90CC08B5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Toda la semana vacaciones
Debe de solicitar sabado como dia de vacaciones para completar las 48h</t>
      </text>
    </comment>
    <comment ref="M36" authorId="10" shapeId="0" xr:uid="{2A4C67D6-4B0C-4F48-87E8-24936F4509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Toda la semana vacaciones
Debe de solicitar sabado como dia de vacaciones para completar las 48h</t>
      </text>
    </comment>
    <comment ref="M37" authorId="11" shapeId="0" xr:uid="{1D3F0DD2-5AB0-4AA4-B55C-939BDEC8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Toda la semana vacaciones
Debe de solicitar sabado como dia de vacaciones para completar las 48h</t>
      </text>
    </comment>
    <comment ref="M38" authorId="12" shapeId="0" xr:uid="{CD1FBFA0-8FD7-464A-BC25-1DCAAD443B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Toda la semana vacaciones
Debe de solicitar sabado como dia de vacaciones para completar las 48h</t>
      </text>
    </comment>
    <comment ref="M39" authorId="13" shapeId="0" xr:uid="{D980AF41-9184-456E-8EC2-DA7F8063D2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Toda la semana vacaciones
Debe de solicitar sabado como dia de vacaciones para completar las 48h</t>
      </text>
    </comment>
    <comment ref="P46" authorId="14" shapeId="0" xr:uid="{64061EEC-EDB9-4045-A3E5-F67E0E6BFD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46" authorId="15" shapeId="0" xr:uid="{94963350-CBBA-4109-B3E5-606EE9ED5F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</t>
      </text>
    </comment>
    <comment ref="P47" authorId="16" shapeId="0" xr:uid="{BCA0A11B-641C-4022-BF27-76ADDB9A86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47" authorId="17" shapeId="0" xr:uid="{A3AE52FB-4F2F-412B-A8CB-27933CA8B0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</t>
      </text>
    </comment>
    <comment ref="P48" authorId="18" shapeId="0" xr:uid="{79731B5D-4615-4054-97FC-88C116FF9A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48" authorId="19" shapeId="0" xr:uid="{93B79071-49F5-42A7-8010-4F3FDD42F9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
</t>
      </text>
    </comment>
    <comment ref="P49" authorId="20" shapeId="0" xr:uid="{46127DE0-FAF7-4DAF-9A67-43B8D70B23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49" authorId="21" shapeId="0" xr:uid="{6E3AAA98-9575-4C36-AE4B-55788F28A0D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
</t>
      </text>
    </comment>
    <comment ref="P50" authorId="22" shapeId="0" xr:uid="{834CC4DC-40AC-4E41-9369-5BBD96C29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50" authorId="23" shapeId="0" xr:uid="{5D2B515A-1D8C-453E-A2C4-AAD21673685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
</t>
      </text>
    </comment>
    <comment ref="P51" authorId="24" shapeId="0" xr:uid="{06E2B6F3-F499-424A-A6DC-6C7F87B6E0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51" authorId="25" shapeId="0" xr:uid="{2DDAA8DA-38D0-4CF8-B0ED-CBEB7CF133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</t>
      </text>
    </comment>
    <comment ref="S55" authorId="26" shapeId="0" xr:uid="{5A7BBBBC-7CB4-4BC7-9296-07A9A11175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57" authorId="27" shapeId="0" xr:uid="{A79106C1-38DE-4D35-93A9-CE4F15E9E3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G64" authorId="28" shapeId="0" xr:uid="{8BF5CD00-4C53-4552-A563-9FAF561C6A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S92" authorId="29" shapeId="0" xr:uid="{03057D5F-8C4F-42D8-819B-973C5E46366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 </t>
      </text>
    </comment>
    <comment ref="V93" authorId="30" shapeId="0" xr:uid="{83D40EF1-06D8-4B09-9219-8EB66E1D76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horario 17:30 a 18pm</t>
      </text>
    </comment>
    <comment ref="S94" authorId="31" shapeId="0" xr:uid="{BBE86B76-75C4-4BE0-B48F-8F7DBD7DEC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 </t>
      </text>
    </comment>
    <comment ref="V95" authorId="32" shapeId="0" xr:uid="{F3783D06-8773-4098-B2A4-7932D89B44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17:30 cambio de horario a las 17pm</t>
      </text>
    </comment>
    <comment ref="AB95" authorId="33" shapeId="0" xr:uid="{ECDD9E24-40E2-4A3D-96BC-C8ED6C279BC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 </t>
      </text>
    </comment>
    <comment ref="AE101" authorId="34" shapeId="0" xr:uid="{D77181C0-28D8-438A-8200-D48942E4768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
</t>
      </text>
    </comment>
    <comment ref="G103" authorId="35" shapeId="0" xr:uid="{E8B76739-A91B-49B2-BE7E-B4973C884A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J103" authorId="36" shapeId="0" xr:uid="{65807D7D-ADEA-4CEC-9A84-A101735E39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103" authorId="37" shapeId="0" xr:uid="{4B08EACD-92D7-46FD-849B-F8FC8CB8C3F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 </t>
      </text>
    </comment>
    <comment ref="M104" authorId="38" shapeId="0" xr:uid="{1EB62536-8094-4882-8EBE-161057711C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104" authorId="39" shapeId="0" xr:uid="{A3B185FA-2035-4EFE-80AE-AD8304C63DD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 </t>
      </text>
    </comment>
    <comment ref="M109" authorId="40" shapeId="0" xr:uid="{31067A1E-EAC6-421D-8474-1B1D8816D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E109" authorId="41" shapeId="0" xr:uid="{D1534F43-B11A-477A-A369-45001E0D87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
</t>
      </text>
    </comment>
    <comment ref="M110" authorId="42" shapeId="0" xr:uid="{B651E4AA-E8AA-4E93-816D-21B10905A8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S110" authorId="43" shapeId="0" xr:uid="{4A2CDBC8-1035-42EA-A914-EC49E1A3E38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 </t>
      </text>
    </comment>
    <comment ref="AE110" authorId="44" shapeId="0" xr:uid="{57C024E2-B777-46D7-97B0-7AFAFD1F7C8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
</t>
      </text>
    </comment>
    <comment ref="I111" authorId="45" shapeId="0" xr:uid="{1A9A92EB-81BA-4B96-9356-AAD0D89A29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horario 9 a 8</t>
      </text>
    </comment>
    <comment ref="M111" authorId="46" shapeId="0" xr:uid="{0C002946-7824-4579-98CA-0AF05E1C70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B111" authorId="47" shapeId="0" xr:uid="{21092F59-00E9-4DD7-A3C3-4FE6E0454E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Apoyo SP </t>
      </text>
    </comment>
    <comment ref="Y112" authorId="48" shapeId="0" xr:uid="{DFEACB30-9801-4B45-B3E6-4AC80A45A2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Y113" authorId="49" shapeId="0" xr:uid="{B94A4AC3-73BD-4220-9E02-569841B722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V118" authorId="50" shapeId="0" xr:uid="{1765926F-4739-4E15-8327-5B77D59243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18:30 por reposición de tiempo</t>
      </text>
    </comment>
    <comment ref="Y118" authorId="51" shapeId="0" xr:uid="{70ED15F9-F545-4705-8F64-B0957BB2DE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V119" authorId="52" shapeId="0" xr:uid="{18D8DF60-8010-4036-BF42-47C341435F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18:30 por reposición de tiempo</t>
      </text>
    </comment>
    <comment ref="Y119" authorId="53" shapeId="0" xr:uid="{9E9744AE-B5CF-46D5-AFF9-2C6525503B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J120" authorId="54" shapeId="0" xr:uid="{CF531318-A6C2-4B03-BA63-5CAA57529B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½ Vacaciones</t>
      </text>
    </comment>
    <comment ref="V120" authorId="55" shapeId="0" xr:uid="{962ECEDA-2860-4A1E-ADC0-EA75B52614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18:30 por reposición de tiempo</t>
      </text>
    </comment>
    <comment ref="V121" authorId="56" shapeId="0" xr:uid="{C147635C-D27C-4DFF-9EBA-CBE7DFCC9B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retira 13:30 por permiso personal</t>
      </text>
    </comment>
    <comment ref="V122" authorId="57" shapeId="0" xr:uid="{006ED6ED-2499-4512-B234-B7F3E07AC9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13:30 por permiso de votación </t>
      </text>
    </comment>
    <comment ref="AE122" authorId="58" shapeId="0" xr:uid="{96A26DB1-6740-47CA-A48D-1266AB601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
</t>
      </text>
    </comment>
    <comment ref="V123" authorId="59" shapeId="0" xr:uid="{49134B98-35B4-4EED-BEE9-3DBF37583C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Repone hasta 14pm</t>
      </text>
    </comment>
    <comment ref="D130" authorId="60" shapeId="0" xr:uid="{C78F6F88-C8D8-4E9B-842F-4AFF20B80C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G130" authorId="61" shapeId="0" xr:uid="{435377C6-4415-4E4F-A2E4-16C4E5528C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J130" authorId="62" shapeId="0" xr:uid="{63CE3D70-4F13-4BB8-A2E1-AA24424AAA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M130" authorId="63" shapeId="0" xr:uid="{CD35DF90-2D56-4194-8252-47F72BD1A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Laborado</t>
      </text>
    </comment>
    <comment ref="P130" authorId="64" shapeId="0" xr:uid="{CAD7BB8D-3D94-447C-864E-0D10B352FC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S130" authorId="65" shapeId="0" xr:uid="{B82FD9F8-285E-49E8-9A50-E205AC27A6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laborado</t>
      </text>
    </comment>
    <comment ref="V130" authorId="66" shapeId="0" xr:uid="{69AB23C1-4965-4B8F-9B40-ACB94A70FC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Y130" authorId="67" shapeId="0" xr:uid="{2ABBC4BA-CB05-4577-9DAB-418264D711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AB130" authorId="68" shapeId="0" xr:uid="{1CCD1E22-2FC0-4684-BC69-046272FC78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AE130" authorId="69" shapeId="0" xr:uid="{5C6AFCED-3FDB-4723-9AFB-940EC962E1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D131" authorId="70" shapeId="0" xr:uid="{D350CB4B-F1AF-4F3E-86F8-F4E0FD25DC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G131" authorId="71" shapeId="0" xr:uid="{B069959C-637E-4BD5-9D5F-34852AB09E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J131" authorId="72" shapeId="0" xr:uid="{C820FE78-F3CE-442B-8215-19DC1FDC2A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M131" authorId="73" shapeId="0" xr:uid="{AA7716B5-38FD-4E01-8CD1-C335F90567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Laborado</t>
      </text>
    </comment>
    <comment ref="P131" authorId="74" shapeId="0" xr:uid="{49453019-2DB5-4B94-B459-08347E9451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S131" authorId="75" shapeId="0" xr:uid="{24EF7D10-9759-40DD-91AA-D9A58C7757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laborado</t>
      </text>
    </comment>
    <comment ref="V131" authorId="76" shapeId="0" xr:uid="{C2C09575-DAE2-404B-A6A0-09C4FE3EDE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Y131" authorId="77" shapeId="0" xr:uid="{742F9253-2FBC-4142-836F-DA32D93BD6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AB131" authorId="78" shapeId="0" xr:uid="{706E56E5-8057-43CF-86E0-91D9DC27CC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AE131" authorId="79" shapeId="0" xr:uid="{06F3834D-3E62-4329-A936-A7FA53A986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V135" authorId="80" shapeId="0" xr:uid="{7DF5CAB5-57C3-49D3-B08C-961E65BC1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retira 18:15 por cita médica </t>
      </text>
    </comment>
    <comment ref="P138" authorId="81" shapeId="0" xr:uid="{1419E7C6-86C5-43BB-9229-B5C3671748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CAPACITACIÓN</t>
      </text>
    </comment>
    <comment ref="S138" authorId="82" shapeId="0" xr:uid="{30816CDF-7155-4A09-95CE-5DD139D765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 Y CAPACITACIÓN</t>
      </text>
    </comment>
    <comment ref="V138" authorId="83" shapeId="0" xr:uid="{CE659B02-C205-4BA6-880F-0B7FA7EE3D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CAPACITACIÓN</t>
      </text>
    </comment>
    <comment ref="P139" authorId="84" shapeId="0" xr:uid="{C386B407-6E20-4AC0-AE36-5B92B71310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CAPACITACIÓN</t>
      </text>
    </comment>
    <comment ref="S139" authorId="85" shapeId="0" xr:uid="{942089DB-BB80-4737-8F76-69FCF4BA8A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CAPACITACIÓN</t>
      </text>
    </comment>
    <comment ref="V139" authorId="86" shapeId="0" xr:uid="{B8826298-AA29-4F63-BBD8-C4D23C03E3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CAPACITACIÓN</t>
      </text>
    </comment>
    <comment ref="P143" authorId="87" shapeId="0" xr:uid="{5932E883-3EEF-47CC-B048-84053432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CAPACITACIÓN</t>
      </text>
    </comment>
    <comment ref="S143" authorId="88" shapeId="0" xr:uid="{F6FD1ED9-9945-4006-8D1B-479285646C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CAPACITACIÓN</t>
      </text>
    </comment>
    <comment ref="V143" authorId="89" shapeId="0" xr:uid="{B678BD9F-FAB7-4022-954D-143EA8016D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CAPACITACIÓN</t>
      </text>
    </comment>
    <comment ref="D163" authorId="90" shapeId="0" xr:uid="{9097723F-80DC-4507-9CA2-DD33BF7F36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Laborado</t>
      </text>
    </comment>
    <comment ref="G163" authorId="91" shapeId="0" xr:uid="{A79E7199-9C19-449F-B243-0338422A5E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J163" authorId="92" shapeId="0" xr:uid="{DC4D8490-54A2-4B0B-90FC-0024A38006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M163" authorId="93" shapeId="0" xr:uid="{D7B9275B-F8A3-49B0-8204-9424BF37CB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P163" authorId="94" shapeId="0" xr:uid="{837ABB78-2D38-492D-9D9D-A51F79CB70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S163" authorId="95" shapeId="0" xr:uid="{25B10B8F-CBEF-4C4C-BBF7-694952A633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laborado</t>
      </text>
    </comment>
    <comment ref="V163" authorId="96" shapeId="0" xr:uid="{3A78F01E-007E-4E57-A2D0-7E722B6E6F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Y163" authorId="97" shapeId="0" xr:uid="{52E9FA19-5960-4C56-B1C1-54D6F1106A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AB163" authorId="98" shapeId="0" xr:uid="{9C857760-1088-461B-92CE-05C92F1919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AE163" authorId="99" shapeId="0" xr:uid="{00AA7F19-90C5-4C41-86C7-86D6D59D27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  <comment ref="S170" authorId="100" shapeId="0" xr:uid="{11D619D0-74F8-4A76-82E4-062BF676F2B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Site SP
</t>
      </text>
    </comment>
    <comment ref="AE180" authorId="101" shapeId="0" xr:uid="{249C6A80-EB2A-477B-A238-FD7EF3902B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AE181" authorId="102" shapeId="0" xr:uid="{E08718BB-2FEB-4B39-92E3-E1A296D33B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0.5</t>
      </text>
    </comment>
    <comment ref="AE187" authorId="103" shapeId="0" xr:uid="{520784E6-ED45-4197-8D9F-F7BF919F9F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retira 13:12, permiso sin goce 1hr:12min de almuerzo</t>
      </text>
    </comment>
    <comment ref="S188" authorId="104" shapeId="0" xr:uid="{04E8D099-34DE-4C6A-82B4-99462B7C569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mi campo de parqueo </t>
      </text>
    </comment>
    <comment ref="AE188" authorId="105" shapeId="0" xr:uid="{40F44D3F-7504-4064-B393-759B1D25A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S189" authorId="106" shapeId="0" xr:uid="{319063EF-2C86-4801-AB0A-42082F6C49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mi campo de parqueo </t>
      </text>
    </comment>
    <comment ref="AE189" authorId="107" shapeId="0" xr:uid="{057547CB-A907-4B55-96AF-B904AEA232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Permiso sin goce </t>
      </text>
    </comment>
    <comment ref="AE190" authorId="108" shapeId="0" xr:uid="{D57C7E65-6DCF-4E8E-B8EF-21318C96C7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</t>
      </text>
    </comment>
    <comment ref="S195" authorId="109" shapeId="0" xr:uid="{6C254B4A-DB1C-435C-8C9D-634AE6FFD4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mi campo de parqueo </t>
      </text>
    </comment>
    <comment ref="AE195" authorId="110" shapeId="0" xr:uid="{98458DAC-6C37-44BB-958E-D304BDCD54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Sin goce</t>
      </text>
    </comment>
    <comment ref="S196" authorId="111" shapeId="0" xr:uid="{DCCA4EFF-5090-4A0B-8BA8-04170D3AAF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SP</t>
      </text>
    </comment>
    <comment ref="S198" authorId="112" shapeId="0" xr:uid="{3FEABC3C-3746-4D84-8490-C82C58AC54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SP</t>
      </text>
    </comment>
    <comment ref="S199" authorId="113" shapeId="0" xr:uid="{B5E4F1EB-E63B-468D-BD0C-548D725211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SP</t>
      </text>
    </comment>
    <comment ref="Y210" authorId="114" shapeId="0" xr:uid="{C4268EDD-CA9E-49A0-BEE0-6B12DC0354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Feriado no laborado</t>
      </text>
    </comment>
  </commentList>
</comments>
</file>

<file path=xl/sharedStrings.xml><?xml version="1.0" encoding="utf-8"?>
<sst xmlns="http://schemas.openxmlformats.org/spreadsheetml/2006/main" count="537" uniqueCount="78">
  <si>
    <t>HORARIO</t>
  </si>
  <si>
    <t>STEPHANIE</t>
  </si>
  <si>
    <t>JUNIOR</t>
  </si>
  <si>
    <t>GERSON</t>
  </si>
  <si>
    <t>KEVIN</t>
  </si>
  <si>
    <t>DILAN</t>
  </si>
  <si>
    <t>QUEREN</t>
  </si>
  <si>
    <t>YULIANA</t>
  </si>
  <si>
    <t>LAURA</t>
  </si>
  <si>
    <t>ANGIE</t>
  </si>
  <si>
    <t>ANDRES</t>
  </si>
  <si>
    <t>QMPM</t>
  </si>
  <si>
    <t>Junior</t>
  </si>
  <si>
    <t>Laura</t>
  </si>
  <si>
    <t>S/ M</t>
  </si>
  <si>
    <t>S/ T</t>
  </si>
  <si>
    <t>D</t>
  </si>
  <si>
    <t>Andres</t>
  </si>
  <si>
    <t>dic</t>
  </si>
  <si>
    <t>Angie</t>
  </si>
  <si>
    <t>Dilan</t>
  </si>
  <si>
    <t>Kevin</t>
  </si>
  <si>
    <t>Yuliana</t>
  </si>
  <si>
    <t>ene</t>
  </si>
  <si>
    <t>feb</t>
  </si>
  <si>
    <t>marz</t>
  </si>
  <si>
    <t>abr</t>
  </si>
  <si>
    <t xml:space="preserve">Angie </t>
  </si>
  <si>
    <t>&gt;&gt;&gt; Dilan Cubrió Angie &lt;&lt;&lt;</t>
  </si>
  <si>
    <t>may</t>
  </si>
  <si>
    <t>Alvaro</t>
  </si>
  <si>
    <t>jun</t>
  </si>
  <si>
    <t>jul</t>
  </si>
  <si>
    <t>**NO DILAN</t>
  </si>
  <si>
    <t>** NO YULIANA</t>
  </si>
  <si>
    <t>ago</t>
  </si>
  <si>
    <t>D/ M</t>
  </si>
  <si>
    <t>D/ T</t>
  </si>
  <si>
    <t>&gt;&gt; No viene Yuliana ni Alvaro &lt;&lt;</t>
  </si>
  <si>
    <t>&gt;&gt; No viene Kevin ni Junior &lt;&lt;</t>
  </si>
  <si>
    <t>&gt;&gt; No viene Laura ni Dilan&lt;&lt;</t>
  </si>
  <si>
    <t>etc etc</t>
  </si>
  <si>
    <t>FIN DE SEMANA POR MEDIO</t>
  </si>
  <si>
    <t>ALVARO 2 VECES AL MES DOMINGO</t>
  </si>
  <si>
    <t>Kike</t>
  </si>
  <si>
    <t>&gt;&gt;Vacaciones … IbaYuliana</t>
  </si>
  <si>
    <t xml:space="preserve">Horarios </t>
  </si>
  <si>
    <t>Almuerzos</t>
  </si>
  <si>
    <t>Break</t>
  </si>
  <si>
    <t>9am / 9:30am</t>
  </si>
  <si>
    <t>12:00 // 12:30 //1:00 //1:30</t>
  </si>
  <si>
    <t>12md</t>
  </si>
  <si>
    <t>9:30///1pm</t>
  </si>
  <si>
    <t>9:00// 12md</t>
  </si>
  <si>
    <t>9am /// 12:30</t>
  </si>
  <si>
    <t>9:30am /// 1pm</t>
  </si>
  <si>
    <t>9:30am /// 1:30pm</t>
  </si>
  <si>
    <t>9:00 // 12:30</t>
  </si>
  <si>
    <t>9:30 // 1:30</t>
  </si>
  <si>
    <t>sep</t>
  </si>
  <si>
    <t>oct</t>
  </si>
  <si>
    <t>nov</t>
  </si>
  <si>
    <t>Alejandra</t>
  </si>
  <si>
    <t>PAOLA _ COL</t>
  </si>
  <si>
    <t>COLOMBIA</t>
  </si>
  <si>
    <t>Kike / Paola</t>
  </si>
  <si>
    <t>Laura /Paola</t>
  </si>
  <si>
    <t>Laura / Paola</t>
  </si>
  <si>
    <t>Junior / Paola</t>
  </si>
  <si>
    <t>Alejandra / Paola</t>
  </si>
  <si>
    <t>Laura/ Paola</t>
  </si>
  <si>
    <t>Kevin/ Paola</t>
  </si>
  <si>
    <t>Alejandra/ Paola</t>
  </si>
  <si>
    <t>mar</t>
  </si>
  <si>
    <t xml:space="preserve">JOSÉ HERRERA </t>
  </si>
  <si>
    <t xml:space="preserve">Laura / José </t>
  </si>
  <si>
    <t xml:space="preserve">José </t>
  </si>
  <si>
    <t>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</si>
</sst>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h:mm;@"/>
    <numFmt numFmtId="165" formatCode="[$-F400]h:mm:ss\ AM/PM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Tenorite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Tenorite"/>
    </font>
    <font>
      <b/>
      <sz val="11"/>
      <color rgb="FFFF0000"/>
      <name val="Aptos Narrow"/>
      <family val="2"/>
      <scheme val="minor"/>
    </font>
    <font>
      <b/>
      <sz val="9"/>
      <color rgb="FFFF0000"/>
      <name val="Tenorite"/>
    </font>
    <font>
      <sz val="9"/>
      <name val="Tenorite"/>
    </font>
    <font>
      <sz val="9"/>
      <color theme="1"/>
      <name val="Aptos Display"/>
      <family val="2"/>
    </font>
    <font>
      <b/>
      <sz val="9"/>
      <color theme="1"/>
      <name val="Aptos Display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Tenorite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b/>
      <sz val="10"/>
      <color theme="1"/>
      <name val="Tenorite"/>
    </font>
    <font>
      <b/>
      <sz val="10"/>
      <color rgb="FFFF0000"/>
      <name val="Tenorite"/>
    </font>
    <font>
      <b/>
      <sz val="10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indexed="81"/>
      <name val="Tahoma"/>
      <charset val="1"/>
    </font>
    <font>
      <sz val="9"/>
      <color indexed="8"/>
      <name val="Tenorite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25">
    <xf numFmtId="0" fontId="0" fillId="0" borderId="0" xfId="0"/>
    <xf numFmtId="2" fontId="0" fillId="0" borderId="0" xfId="0" applyNumberFormat="1"/>
    <xf numFmtId="0" fontId="6" fillId="0" borderId="0" xfId="0" applyFont="1"/>
    <xf numFmtId="16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14" fontId="0" fillId="0" borderId="1" xfId="0" applyNumberFormat="1" applyBorder="1"/>
    <xf numFmtId="164" fontId="2" fillId="0" borderId="1" xfId="0" applyNumberFormat="1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2" fontId="5" fillId="0" borderId="1" xfId="0" applyNumberFormat="1" applyFont="1" applyBorder="1" applyAlignment="1" applyProtection="1">
      <alignment horizontal="center" vertical="center"/>
      <protection locked="0"/>
    </xf>
    <xf numFmtId="14" fontId="6" fillId="0" borderId="1" xfId="0" applyNumberFormat="1" applyFont="1" applyBorder="1"/>
    <xf numFmtId="164" fontId="7" fillId="0" borderId="1" xfId="0" applyNumberFormat="1" applyFont="1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 applyProtection="1">
      <alignment horizontal="center" vertical="center"/>
      <protection locked="0"/>
    </xf>
    <xf numFmtId="2" fontId="7" fillId="2" borderId="1" xfId="0" applyNumberFormat="1" applyFont="1" applyFill="1" applyBorder="1" applyAlignment="1" applyProtection="1">
      <alignment horizontal="center" vertical="center"/>
      <protection locked="0"/>
    </xf>
    <xf numFmtId="2" fontId="6" fillId="0" borderId="1" xfId="0" applyNumberFormat="1" applyFont="1" applyBorder="1"/>
    <xf numFmtId="2" fontId="8" fillId="0" borderId="1" xfId="0" applyNumberFormat="1" applyFont="1" applyBorder="1" applyAlignment="1" applyProtection="1">
      <alignment horizontal="center" vertical="center"/>
      <protection locked="0"/>
    </xf>
    <xf numFmtId="2" fontId="1" fillId="0" borderId="1" xfId="0" applyNumberFormat="1" applyFont="1" applyBorder="1"/>
    <xf numFmtId="0" fontId="6" fillId="0" borderId="1" xfId="0" applyFont="1" applyBorder="1"/>
    <xf numFmtId="0" fontId="1" fillId="0" borderId="1" xfId="0" applyFont="1" applyBorder="1"/>
    <xf numFmtId="164" fontId="9" fillId="0" borderId="1" xfId="0" applyNumberFormat="1" applyFont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5" fillId="2" borderId="1" xfId="0" applyNumberFormat="1" applyFont="1" applyFill="1" applyBorder="1" applyAlignment="1" applyProtection="1">
      <alignment horizontal="center" vertical="center"/>
      <protection locked="0"/>
    </xf>
    <xf numFmtId="2" fontId="5" fillId="2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3" xfId="0" applyFont="1" applyBorder="1"/>
    <xf numFmtId="0" fontId="1" fillId="4" borderId="1" xfId="0" applyFont="1" applyFill="1" applyBorder="1"/>
    <xf numFmtId="0" fontId="1" fillId="0" borderId="0" xfId="0" applyFont="1"/>
    <xf numFmtId="0" fontId="1" fillId="0" borderId="2" xfId="0" applyFont="1" applyBorder="1"/>
    <xf numFmtId="164" fontId="10" fillId="0" borderId="1" xfId="0" applyNumberFormat="1" applyFont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2" fillId="0" borderId="1" xfId="0" applyFont="1" applyBorder="1"/>
    <xf numFmtId="0" fontId="12" fillId="0" borderId="4" xfId="0" applyFont="1" applyBorder="1"/>
    <xf numFmtId="164" fontId="2" fillId="5" borderId="1" xfId="0" applyNumberFormat="1" applyFont="1" applyFill="1" applyBorder="1" applyAlignment="1" applyProtection="1">
      <alignment horizontal="center" vertical="center"/>
      <protection locked="0"/>
    </xf>
    <xf numFmtId="2" fontId="2" fillId="5" borderId="1" xfId="0" applyNumberFormat="1" applyFont="1" applyFill="1" applyBorder="1" applyAlignment="1" applyProtection="1">
      <alignment horizontal="center" vertical="center"/>
      <protection locked="0"/>
    </xf>
    <xf numFmtId="43" fontId="0" fillId="0" borderId="1" xfId="1" applyFont="1" applyBorder="1" applyAlignment="1">
      <alignment horizontal="center"/>
    </xf>
    <xf numFmtId="43" fontId="2" fillId="0" borderId="1" xfId="1" applyFont="1" applyBorder="1" applyAlignment="1" applyProtection="1">
      <alignment horizontal="center" vertical="center"/>
      <protection locked="0"/>
    </xf>
    <xf numFmtId="43" fontId="7" fillId="0" borderId="1" xfId="1" applyFont="1" applyBorder="1" applyAlignment="1" applyProtection="1">
      <alignment horizontal="center" vertical="center"/>
      <protection locked="0"/>
    </xf>
    <xf numFmtId="43" fontId="0" fillId="0" borderId="1" xfId="1" applyFont="1" applyBorder="1"/>
    <xf numFmtId="43" fontId="6" fillId="0" borderId="1" xfId="1" applyFont="1" applyBorder="1"/>
    <xf numFmtId="43" fontId="0" fillId="0" borderId="0" xfId="1" applyFont="1"/>
    <xf numFmtId="43" fontId="9" fillId="0" borderId="1" xfId="1" applyFont="1" applyFill="1" applyBorder="1" applyAlignment="1" applyProtection="1">
      <alignment horizontal="center" vertical="center"/>
      <protection locked="0"/>
    </xf>
    <xf numFmtId="0" fontId="12" fillId="0" borderId="3" xfId="0" applyFont="1" applyBorder="1"/>
    <xf numFmtId="0" fontId="14" fillId="0" borderId="0" xfId="0" applyFont="1"/>
    <xf numFmtId="0" fontId="12" fillId="6" borderId="4" xfId="0" applyFont="1" applyFill="1" applyBorder="1"/>
    <xf numFmtId="0" fontId="12" fillId="6" borderId="3" xfId="0" applyFont="1" applyFill="1" applyBorder="1"/>
    <xf numFmtId="0" fontId="12" fillId="6" borderId="0" xfId="0" applyFont="1" applyFill="1"/>
    <xf numFmtId="164" fontId="2" fillId="7" borderId="1" xfId="0" applyNumberFormat="1" applyFont="1" applyFill="1" applyBorder="1" applyAlignment="1" applyProtection="1">
      <alignment horizontal="center" vertical="center"/>
      <protection locked="0"/>
    </xf>
    <xf numFmtId="2" fontId="15" fillId="0" borderId="1" xfId="0" applyNumberFormat="1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43" fontId="15" fillId="0" borderId="1" xfId="1" applyFont="1" applyBorder="1" applyAlignment="1">
      <alignment horizontal="center"/>
    </xf>
    <xf numFmtId="2" fontId="15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/>
    <xf numFmtId="0" fontId="15" fillId="0" borderId="0" xfId="0" applyFont="1"/>
    <xf numFmtId="14" fontId="15" fillId="0" borderId="1" xfId="0" applyNumberFormat="1" applyFont="1" applyBorder="1"/>
    <xf numFmtId="164" fontId="16" fillId="0" borderId="1" xfId="0" applyNumberFormat="1" applyFont="1" applyBorder="1" applyAlignment="1" applyProtection="1">
      <alignment horizontal="center" vertical="center"/>
      <protection locked="0"/>
    </xf>
    <xf numFmtId="2" fontId="16" fillId="0" borderId="1" xfId="0" applyNumberFormat="1" applyFont="1" applyBorder="1" applyAlignment="1" applyProtection="1">
      <alignment horizontal="center" vertical="center"/>
      <protection locked="0"/>
    </xf>
    <xf numFmtId="164" fontId="17" fillId="0" borderId="1" xfId="0" applyNumberFormat="1" applyFont="1" applyBorder="1" applyAlignment="1" applyProtection="1">
      <alignment horizontal="center" vertical="center"/>
      <protection locked="0"/>
    </xf>
    <xf numFmtId="43" fontId="16" fillId="0" borderId="1" xfId="1" applyFont="1" applyFill="1" applyBorder="1" applyAlignment="1" applyProtection="1">
      <alignment horizontal="center" vertical="center"/>
      <protection locked="0"/>
    </xf>
    <xf numFmtId="165" fontId="16" fillId="0" borderId="1" xfId="0" applyNumberFormat="1" applyFont="1" applyBorder="1" applyAlignment="1" applyProtection="1">
      <alignment horizontal="center" vertical="center"/>
      <protection locked="0"/>
    </xf>
    <xf numFmtId="164" fontId="17" fillId="7" borderId="1" xfId="0" applyNumberFormat="1" applyFont="1" applyFill="1" applyBorder="1" applyAlignment="1" applyProtection="1">
      <alignment horizontal="center" vertical="center"/>
      <protection locked="0"/>
    </xf>
    <xf numFmtId="164" fontId="18" fillId="0" borderId="1" xfId="0" applyNumberFormat="1" applyFont="1" applyBorder="1" applyAlignment="1" applyProtection="1">
      <alignment horizontal="center" vertical="center"/>
      <protection locked="0"/>
    </xf>
    <xf numFmtId="164" fontId="18" fillId="4" borderId="1" xfId="0" applyNumberFormat="1" applyFont="1" applyFill="1" applyBorder="1" applyAlignment="1" applyProtection="1">
      <alignment horizontal="center" vertical="center"/>
      <protection locked="0"/>
    </xf>
    <xf numFmtId="2" fontId="16" fillId="4" borderId="1" xfId="0" applyNumberFormat="1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43" fontId="17" fillId="0" borderId="1" xfId="1" applyFont="1" applyFill="1" applyBorder="1" applyAlignment="1" applyProtection="1">
      <alignment horizontal="center" vertical="center"/>
      <protection locked="0"/>
    </xf>
    <xf numFmtId="2" fontId="20" fillId="0" borderId="1" xfId="0" applyNumberFormat="1" applyFont="1" applyBorder="1" applyAlignment="1" applyProtection="1">
      <alignment horizontal="center" vertical="center"/>
      <protection locked="0"/>
    </xf>
    <xf numFmtId="164" fontId="20" fillId="0" borderId="1" xfId="0" applyNumberFormat="1" applyFont="1" applyBorder="1" applyAlignment="1" applyProtection="1">
      <alignment horizontal="center" vertical="center"/>
      <protection locked="0"/>
    </xf>
    <xf numFmtId="43" fontId="20" fillId="0" borderId="1" xfId="1" applyFont="1" applyBorder="1" applyAlignment="1" applyProtection="1">
      <alignment horizontal="center" vertical="center"/>
      <protection locked="0"/>
    </xf>
    <xf numFmtId="2" fontId="21" fillId="0" borderId="1" xfId="0" applyNumberFormat="1" applyFont="1" applyBorder="1"/>
    <xf numFmtId="164" fontId="16" fillId="7" borderId="1" xfId="0" applyNumberFormat="1" applyFont="1" applyFill="1" applyBorder="1" applyAlignment="1" applyProtection="1">
      <alignment horizontal="center" vertical="center"/>
      <protection locked="0"/>
    </xf>
    <xf numFmtId="43" fontId="16" fillId="7" borderId="1" xfId="1" applyFont="1" applyFill="1" applyBorder="1" applyAlignment="1" applyProtection="1">
      <alignment horizontal="center" vertical="center"/>
      <protection locked="0"/>
    </xf>
    <xf numFmtId="2" fontId="0" fillId="8" borderId="1" xfId="0" applyNumberFormat="1" applyFill="1" applyBorder="1" applyAlignment="1">
      <alignment horizontal="center"/>
    </xf>
    <xf numFmtId="2" fontId="2" fillId="8" borderId="1" xfId="0" applyNumberFormat="1" applyFont="1" applyFill="1" applyBorder="1" applyAlignment="1" applyProtection="1">
      <alignment horizontal="center" vertical="center"/>
      <protection locked="0"/>
    </xf>
    <xf numFmtId="2" fontId="7" fillId="8" borderId="1" xfId="0" applyNumberFormat="1" applyFont="1" applyFill="1" applyBorder="1" applyAlignment="1" applyProtection="1">
      <alignment horizontal="center" vertical="center"/>
      <protection locked="0"/>
    </xf>
    <xf numFmtId="2" fontId="5" fillId="8" borderId="1" xfId="0" applyNumberFormat="1" applyFont="1" applyFill="1" applyBorder="1" applyAlignment="1" applyProtection="1">
      <alignment horizontal="center" vertical="center"/>
      <protection locked="0"/>
    </xf>
    <xf numFmtId="2" fontId="0" fillId="8" borderId="1" xfId="0" applyNumberFormat="1" applyFill="1" applyBorder="1"/>
    <xf numFmtId="2" fontId="6" fillId="8" borderId="1" xfId="0" applyNumberFormat="1" applyFont="1" applyFill="1" applyBorder="1"/>
    <xf numFmtId="2" fontId="0" fillId="8" borderId="0" xfId="0" applyNumberFormat="1" applyFill="1"/>
    <xf numFmtId="165" fontId="2" fillId="0" borderId="1" xfId="1" applyNumberFormat="1" applyFont="1" applyFill="1" applyBorder="1" applyAlignment="1" applyProtection="1">
      <alignment horizontal="center" vertical="center"/>
      <protection locked="0"/>
    </xf>
    <xf numFmtId="2" fontId="9" fillId="0" borderId="1" xfId="1" applyNumberFormat="1" applyFont="1" applyFill="1" applyBorder="1" applyAlignment="1" applyProtection="1">
      <alignment horizontal="center" vertical="center"/>
      <protection locked="0"/>
    </xf>
    <xf numFmtId="2" fontId="22" fillId="0" borderId="0" xfId="0" applyNumberFormat="1" applyFont="1"/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2" fontId="2" fillId="3" borderId="1" xfId="0" applyNumberFormat="1" applyFont="1" applyFill="1" applyBorder="1" applyAlignment="1" applyProtection="1">
      <alignment horizontal="center" vertical="center"/>
      <protection locked="0"/>
    </xf>
    <xf numFmtId="164" fontId="18" fillId="5" borderId="1" xfId="0" applyNumberFormat="1" applyFont="1" applyFill="1" applyBorder="1" applyAlignment="1" applyProtection="1">
      <alignment horizontal="center" vertical="center"/>
      <protection locked="0"/>
    </xf>
    <xf numFmtId="2" fontId="16" fillId="5" borderId="1" xfId="0" applyNumberFormat="1" applyFont="1" applyFill="1" applyBorder="1" applyAlignment="1" applyProtection="1">
      <alignment horizontal="center" vertical="center"/>
      <protection locked="0"/>
    </xf>
    <xf numFmtId="21" fontId="0" fillId="0" borderId="1" xfId="0" applyNumberFormat="1" applyBorder="1"/>
    <xf numFmtId="14" fontId="0" fillId="5" borderId="1" xfId="0" applyNumberFormat="1" applyFill="1" applyBorder="1"/>
    <xf numFmtId="164" fontId="9" fillId="5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" xfId="0" applyFill="1" applyBorder="1"/>
    <xf numFmtId="0" fontId="12" fillId="0" borderId="0" xfId="0" applyFont="1"/>
    <xf numFmtId="43" fontId="0" fillId="0" borderId="1" xfId="1" applyFont="1" applyFill="1" applyBorder="1"/>
    <xf numFmtId="2" fontId="2" fillId="9" borderId="1" xfId="0" applyNumberFormat="1" applyFont="1" applyFill="1" applyBorder="1" applyAlignment="1" applyProtection="1">
      <alignment horizontal="center" vertical="center"/>
      <protection locked="0"/>
    </xf>
    <xf numFmtId="164" fontId="2" fillId="9" borderId="1" xfId="0" applyNumberFormat="1" applyFont="1" applyFill="1" applyBorder="1" applyAlignment="1" applyProtection="1">
      <alignment horizontal="center" vertical="center"/>
      <protection locked="0"/>
    </xf>
    <xf numFmtId="43" fontId="0" fillId="9" borderId="1" xfId="1" applyFont="1" applyFill="1" applyBorder="1"/>
    <xf numFmtId="2" fontId="0" fillId="3" borderId="1" xfId="0" applyNumberFormat="1" applyFill="1" applyBorder="1" applyAlignment="1">
      <alignment horizontal="center"/>
    </xf>
    <xf numFmtId="164" fontId="5" fillId="10" borderId="1" xfId="0" applyNumberFormat="1" applyFont="1" applyFill="1" applyBorder="1" applyAlignment="1" applyProtection="1">
      <alignment horizontal="center" vertical="center"/>
      <protection locked="0"/>
    </xf>
    <xf numFmtId="2" fontId="5" fillId="10" borderId="1" xfId="0" applyNumberFormat="1" applyFont="1" applyFill="1" applyBorder="1" applyAlignment="1" applyProtection="1">
      <alignment horizontal="center" vertical="center"/>
      <protection locked="0"/>
    </xf>
    <xf numFmtId="164" fontId="2" fillId="11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164" fontId="2" fillId="12" borderId="1" xfId="0" applyNumberFormat="1" applyFont="1" applyFill="1" applyBorder="1" applyAlignment="1" applyProtection="1">
      <alignment horizontal="center" vertical="center"/>
      <protection locked="0"/>
    </xf>
    <xf numFmtId="2" fontId="2" fillId="12" borderId="1" xfId="0" applyNumberFormat="1" applyFont="1" applyFill="1" applyBorder="1" applyAlignment="1" applyProtection="1">
      <alignment horizontal="center" vertical="center"/>
      <protection locked="0"/>
    </xf>
    <xf numFmtId="164" fontId="10" fillId="12" borderId="1" xfId="0" applyNumberFormat="1" applyFont="1" applyFill="1" applyBorder="1" applyAlignment="1" applyProtection="1">
      <alignment horizontal="center" vertical="center"/>
      <protection locked="0"/>
    </xf>
    <xf numFmtId="20" fontId="0" fillId="0" borderId="0" xfId="0" applyNumberFormat="1"/>
    <xf numFmtId="164" fontId="24" fillId="0" borderId="7" xfId="0" applyNumberFormat="1" applyFont="1" applyBorder="1" applyAlignment="1" applyProtection="1">
      <alignment horizontal="center" vertical="center"/>
      <protection locked="0"/>
    </xf>
    <xf numFmtId="2" fontId="24" fillId="0" borderId="7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/>
    <xf numFmtId="165" fontId="0" fillId="0" borderId="0" xfId="1" applyNumberFormat="1" applyFont="1"/>
    <xf numFmtId="165" fontId="0" fillId="5" borderId="0" xfId="0" applyNumberFormat="1" applyFill="1"/>
    <xf numFmtId="43" fontId="13" fillId="0" borderId="1" xfId="1" applyFon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164" fontId="9" fillId="13" borderId="1" xfId="0" applyNumberFormat="1" applyFont="1" applyFill="1" applyBorder="1" applyAlignment="1" applyProtection="1">
      <alignment horizontal="center" vertical="center"/>
      <protection locked="0"/>
    </xf>
    <xf numFmtId="2" fontId="2" fillId="13" borderId="1" xfId="0" applyNumberFormat="1" applyFont="1" applyFill="1" applyBorder="1" applyAlignment="1" applyProtection="1">
      <alignment horizontal="center" vertical="center"/>
      <protection locked="0"/>
    </xf>
  </cellXfs>
  <cellStyles count="2">
    <cellStyle name="Millares" xfId="1" builtinId="3"/>
    <cellStyle name="Normal" xfId="0" builtinId="0"/>
  </cellStyles>
  <dxfs count="1029"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thin">
          <color theme="0" tint="-0.499984740745262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499984740745262"/>
        </top>
        <vertical/>
        <horizontal/>
      </border>
    </dxf>
    <dxf>
      <border>
        <left style="thin">
          <color theme="0" tint="-0.499984740745262"/>
        </left>
        <right style="hair">
          <color theme="0" tint="-0.1499679555650502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left style="hair">
          <color theme="0" tint="-0.24994659260841701"/>
        </left>
        <right style="thin">
          <color theme="0" tint="-0.499984740745262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border>
        <top style="thin">
          <color theme="0" tint="-0.499984740745262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685800</xdr:colOff>
      <xdr:row>31</xdr:row>
      <xdr:rowOff>38100</xdr:rowOff>
    </xdr:from>
    <xdr:to>
      <xdr:col>13</xdr:col>
      <xdr:colOff>715123</xdr:colOff>
      <xdr:row>40</xdr:row>
      <xdr:rowOff>57392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16FE4E-A50E-2F5D-4421-9339D45FB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5943600"/>
          <a:ext cx="5363323" cy="17337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gie Pamela Zuniga Bustos" id="{FE967458-00D4-4E65-8367-A2DFB6BABAD5}" userId="S::azuniga@netcom.com.pa::cbdbd8b4-7dcc-42a5-82d8-ce32387a5fcc" providerId="AD"/>
  <person displayName="Queren Pacheco Mestaller" id="{4B9877A3-37E0-4B79-AE8D-FD5CFB433A8D}" userId="S::qpachecom@netcom.com.pa::1d23cc31-a53f-41ad-a344-826700775ba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6" dT="2025-06-30T21:38:11.35" personId="{4B9877A3-37E0-4B79-AE8D-FD5CFB433A8D}" id="{9F420F3E-2FE7-4760-861B-FAAA11F47C27}">
    <text>Por permiso de tema personal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5-11-18T18:19:56.21" personId="{4B9877A3-37E0-4B79-AE8D-FD5CFB433A8D}" id="{35149F21-1D35-43F3-9000-B565A361E6A3}">
    <text>Feriado no laborado en COL</text>
  </threadedComment>
  <threadedComment ref="C32" dT="2026-01-20T21:22:06.84" personId="{4B9877A3-37E0-4B79-AE8D-FD5CFB433A8D}" id="{D20841ED-4A2F-415D-85A4-70A1A202DC73}">
    <text>Cambio horario 11am - 19pm</text>
  </threadedComment>
  <threadedComment ref="C32" dT="2026-01-21T16:20:09.88" personId="{4B9877A3-37E0-4B79-AE8D-FD5CFB433A8D}" id="{C6CE0B6F-0515-4674-A852-49F35DE70A42}" parentId="{D20841ED-4A2F-415D-85A4-70A1A202DC73}">
    <text>VACACIONES POR EMERGENCIA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4-12-23T22:34:13.84" personId="{4B9877A3-37E0-4B79-AE8D-FD5CFB433A8D}" id="{9D2099DF-382D-4B7E-872A-95512666EE9D}">
    <text>No trabaja el feriado, coordinado previamente con Alejandro</text>
  </threadedComment>
  <threadedComment ref="Y7" dT="2024-12-23T22:32:31.13" personId="{4B9877A3-37E0-4B79-AE8D-FD5CFB433A8D}" id="{B3920081-E111-4C47-9A9D-20B5DC53F35F}">
    <text>Medio día de vacaciones</text>
  </threadedComment>
  <threadedComment ref="AB10" dT="2024-12-23T21:00:33.90" personId="{FE967458-00D4-4E65-8367-A2DFB6BABAD5}" id="{A321AAD3-E1A0-4BB7-9411-3DCB786AF189}">
    <text>Horario andres</text>
  </threadedComment>
  <threadedComment ref="M30" dT="2024-12-23T20:48:46.66" personId="{FE967458-00D4-4E65-8367-A2DFB6BABAD5}" id="{81D72CBB-80E7-4534-AF4C-136DE352D768}">
    <text xml:space="preserve">Vacaciones
</text>
  </threadedComment>
  <threadedComment ref="G34" dT="2024-12-23T21:01:05.28" personId="{FE967458-00D4-4E65-8367-A2DFB6BABAD5}" id="{AA1D3F4F-29D6-4779-90D3-B2197B89AC9E}">
    <text>Labora sab 1 feb de 1 a 6</text>
  </threadedComment>
  <threadedComment ref="M34" dT="2024-12-23T20:55:44.03" personId="{FE967458-00D4-4E65-8367-A2DFB6BABAD5}" id="{B22F12AE-4070-4EBF-BD08-44CEF4E6E44C}">
    <text>Toda la semana vacaciones
Debe de solicitar sabado como dia de vacaciones para completar las 48h</text>
  </threadedComment>
  <threadedComment ref="Y34" dT="2024-12-23T21:00:49.76" personId="{FE967458-00D4-4E65-8367-A2DFB6BABAD5}" id="{7ECE134F-1960-4C4C-9644-3C195A7129B4}">
    <text>Labora sab 1 feb de 8 a 1</text>
  </threadedComment>
  <threadedComment ref="AB34" dT="2024-12-23T21:01:18.75" personId="{FE967458-00D4-4E65-8367-A2DFB6BABAD5}" id="{349295B4-08B4-4CA7-8BCC-9D7A97FE89FE}">
    <text>Labora domingo 2 feb 8 a 12</text>
  </threadedComment>
  <threadedComment ref="M35" dT="2024-12-23T20:55:44.03" personId="{FE967458-00D4-4E65-8367-A2DFB6BABAD5}" id="{48C3F479-273F-4950-94A2-8E90CC08B5BD}">
    <text>Toda la semana vacaciones
Debe de solicitar sabado como dia de vacaciones para completar las 48h</text>
  </threadedComment>
  <threadedComment ref="M36" dT="2024-12-23T20:55:44.03" personId="{FE967458-00D4-4E65-8367-A2DFB6BABAD5}" id="{2A4C67D6-4B0C-4F48-87E8-24936F4509A3}">
    <text>Toda la semana vacaciones
Debe de solicitar sabado como dia de vacaciones para completar las 48h</text>
  </threadedComment>
  <threadedComment ref="M37" dT="2024-12-23T20:55:44.03" personId="{FE967458-00D4-4E65-8367-A2DFB6BABAD5}" id="{1D3F0DD2-5AB0-4AA4-B55C-939BDEC86581}">
    <text>Toda la semana vacaciones
Debe de solicitar sabado como dia de vacaciones para completar las 48h</text>
  </threadedComment>
  <threadedComment ref="M38" dT="2024-12-23T20:55:44.03" personId="{FE967458-00D4-4E65-8367-A2DFB6BABAD5}" id="{CD1FBFA0-8FD7-464A-BC25-1DCAAD443B80}">
    <text>Toda la semana vacaciones
Debe de solicitar sabado como dia de vacaciones para completar las 48h</text>
  </threadedComment>
  <threadedComment ref="M39" dT="2024-12-23T20:55:44.03" personId="{FE967458-00D4-4E65-8367-A2DFB6BABAD5}" id="{D980AF41-9184-456E-8EC2-DA7F8063D2FC}">
    <text>Toda la semana vacaciones
Debe de solicitar sabado como dia de vacaciones para completar las 48h</text>
  </threadedComment>
  <threadedComment ref="P46" dT="2025-12-29T17:32:13.32" personId="{4B9877A3-37E0-4B79-AE8D-FD5CFB433A8D}" id="{64061EEC-EDB9-4045-A3E5-F67E0E6BFD2F}">
    <text>Vacaciones</text>
  </threadedComment>
  <threadedComment ref="AB46" dT="2025-12-29T18:01:10.50" personId="{4B9877A3-37E0-4B79-AE8D-FD5CFB433A8D}" id="{94963350-CBBA-4109-B3E5-606EE9ED5F60}">
    <text>SITE SP</text>
  </threadedComment>
  <threadedComment ref="P47" dT="2025-12-29T17:32:13.32" personId="{4B9877A3-37E0-4B79-AE8D-FD5CFB433A8D}" id="{BCA0A11B-641C-4022-BF27-76ADDB9A86FD}">
    <text>Vacaciones</text>
  </threadedComment>
  <threadedComment ref="AB47" dT="2025-12-29T18:01:10.50" personId="{4B9877A3-37E0-4B79-AE8D-FD5CFB433A8D}" id="{A3AE52FB-4F2F-412B-A8CB-27933CA8B0F3}">
    <text>SITE SP</text>
  </threadedComment>
  <threadedComment ref="P48" dT="2025-12-29T17:32:13.32" personId="{4B9877A3-37E0-4B79-AE8D-FD5CFB433A8D}" id="{79731B5D-4615-4054-97FC-88C116FF9AD9}">
    <text>Vacaciones</text>
  </threadedComment>
  <threadedComment ref="AB48" dT="2025-12-29T18:01:19.22" personId="{4B9877A3-37E0-4B79-AE8D-FD5CFB433A8D}" id="{93B79071-49F5-42A7-8010-4F3FDD42F948}">
    <text xml:space="preserve">SITE SP
</text>
  </threadedComment>
  <threadedComment ref="P49" dT="2025-12-29T17:32:13.32" personId="{4B9877A3-37E0-4B79-AE8D-FD5CFB433A8D}" id="{46127DE0-FAF7-4DAF-9A67-43B8D70B236C}">
    <text>Vacaciones</text>
  </threadedComment>
  <threadedComment ref="AB49" dT="2025-12-29T18:01:19.22" personId="{4B9877A3-37E0-4B79-AE8D-FD5CFB433A8D}" id="{6E3AAA98-9575-4C36-AE4B-55788F28A0D2}">
    <text xml:space="preserve">SITE SP
</text>
  </threadedComment>
  <threadedComment ref="P50" dT="2025-12-29T17:32:13.32" personId="{4B9877A3-37E0-4B79-AE8D-FD5CFB433A8D}" id="{834CC4DC-40AC-4E41-9369-5BBD96C297FB}">
    <text>Vacaciones</text>
  </threadedComment>
  <threadedComment ref="AB50" dT="2025-12-29T18:01:19.22" personId="{4B9877A3-37E0-4B79-AE8D-FD5CFB433A8D}" id="{5D2B515A-1D8C-453E-A2C4-AAD216736859}">
    <text xml:space="preserve">SITE SP
</text>
  </threadedComment>
  <threadedComment ref="P51" dT="2025-12-29T17:32:13.32" personId="{4B9877A3-37E0-4B79-AE8D-FD5CFB433A8D}" id="{06E2B6F3-F499-424A-A6DC-6C7F87B6E091}">
    <text>Vacaciones</text>
  </threadedComment>
  <threadedComment ref="AB51" dT="2025-12-29T18:01:33.33" personId="{4B9877A3-37E0-4B79-AE8D-FD5CFB433A8D}" id="{2DDAA8DA-38D0-4CF8-B0ED-CBEB7CF1336A}">
    <text>SITE SP</text>
  </threadedComment>
  <threadedComment ref="S55" dT="2026-01-29T17:35:43.19" personId="{4B9877A3-37E0-4B79-AE8D-FD5CFB433A8D}" id="{5A7BBBBC-7CB4-4BC7-9296-07A9A11175ED}">
    <text>Vacaciones</text>
  </threadedComment>
  <threadedComment ref="AB57" dT="2026-01-29T17:35:43.19" personId="{4B9877A3-37E0-4B79-AE8D-FD5CFB433A8D}" id="{A79106C1-38DE-4D35-93A9-CE4F15E9E323}">
    <text>Vacaciones</text>
  </threadedComment>
  <threadedComment ref="G64" dT="2026-01-29T17:35:43.19" personId="{4B9877A3-37E0-4B79-AE8D-FD5CFB433A8D}" id="{8BF5CD00-4C53-4552-A563-9FAF561C6AD8}">
    <text>Vacaciones</text>
  </threadedComment>
  <threadedComment ref="S92" dT="2026-02-24T22:15:58.67" personId="{4B9877A3-37E0-4B79-AE8D-FD5CFB433A8D}" id="{03057D5F-8C4F-42D8-819B-973C5E463660}">
    <text xml:space="preserve">Site SP </text>
  </threadedComment>
  <threadedComment ref="V93" dT="2026-03-05T20:44:02.98" personId="{4B9877A3-37E0-4B79-AE8D-FD5CFB433A8D}" id="{83D40EF1-06D8-4B09-9219-8EB66E1D76C3}">
    <text>Cambio de horario 17:30 a 18pm</text>
  </threadedComment>
  <threadedComment ref="S94" dT="2026-02-24T22:15:58.67" personId="{4B9877A3-37E0-4B79-AE8D-FD5CFB433A8D}" id="{BBE86B76-75C4-4BE0-B48F-8F7DBD7DEC3C}">
    <text xml:space="preserve">Site SP </text>
  </threadedComment>
  <threadedComment ref="V95" dT="2026-03-05T20:44:46.64" personId="{4B9877A3-37E0-4B79-AE8D-FD5CFB433A8D}" id="{F3783D06-8773-4098-B2A4-7932D89B44BF}">
    <text>17:30 cambio de horario a las 17pm</text>
  </threadedComment>
  <threadedComment ref="AB95" dT="2026-02-24T22:15:58.67" personId="{4B9877A3-37E0-4B79-AE8D-FD5CFB433A8D}" id="{ECDD9E24-40E2-4A3D-96BC-C8ED6C279BC5}">
    <text xml:space="preserve">Site SP </text>
  </threadedComment>
  <threadedComment ref="AE101" dT="2026-03-05T23:29:53.55" personId="{4B9877A3-37E0-4B79-AE8D-FD5CFB433A8D}" id="{D77181C0-28D8-438A-8200-D48942E4768D}">
    <text xml:space="preserve">SITE SP
</text>
  </threadedComment>
  <threadedComment ref="G103" dT="2026-02-24T21:54:18.45" personId="{4B9877A3-37E0-4B79-AE8D-FD5CFB433A8D}" id="{E8B76739-A91B-49B2-BE7E-B4973C884A12}">
    <text>Vacaciones</text>
  </threadedComment>
  <threadedComment ref="J103" dT="2026-02-24T21:54:18.45" personId="{4B9877A3-37E0-4B79-AE8D-FD5CFB433A8D}" id="{65807D7D-ADEA-4CEC-9A84-A101735E390B}">
    <text>Vacaciones</text>
  </threadedComment>
  <threadedComment ref="AB103" dT="2026-02-24T22:15:58.67" personId="{4B9877A3-37E0-4B79-AE8D-FD5CFB433A8D}" id="{4B08EACD-92D7-46FD-849B-F8FC8CB8C3F3}">
    <text xml:space="preserve">Site SP </text>
  </threadedComment>
  <threadedComment ref="M104" dT="2026-02-24T21:54:18.45" personId="{4B9877A3-37E0-4B79-AE8D-FD5CFB433A8D}" id="{1EB62536-8094-4882-8EBE-161057711CB5}">
    <text>Vacaciones</text>
  </threadedComment>
  <threadedComment ref="AB104" dT="2026-02-24T22:15:58.67" personId="{4B9877A3-37E0-4B79-AE8D-FD5CFB433A8D}" id="{A3B185FA-2035-4EFE-80AE-AD8304C63DD4}">
    <text xml:space="preserve">Site SP </text>
  </threadedComment>
  <threadedComment ref="M109" dT="2026-02-24T21:54:18.45" personId="{4B9877A3-37E0-4B79-AE8D-FD5CFB433A8D}" id="{31067A1E-EAC6-421D-8474-1B1D8816D66B}">
    <text>Vacaciones</text>
  </threadedComment>
  <threadedComment ref="AE109" dT="2026-03-05T23:29:53.55" personId="{4B9877A3-37E0-4B79-AE8D-FD5CFB433A8D}" id="{D1534F43-B11A-477A-A369-45001E0D87FC}">
    <text xml:space="preserve">SITE SP
</text>
  </threadedComment>
  <threadedComment ref="M110" dT="2026-02-24T21:54:18.45" personId="{4B9877A3-37E0-4B79-AE8D-FD5CFB433A8D}" id="{B651E4AA-E8AA-4E93-816D-21B10905A8B6}">
    <text>Vacaciones</text>
  </threadedComment>
  <threadedComment ref="S110" dT="2026-02-24T22:15:58.67" personId="{4B9877A3-37E0-4B79-AE8D-FD5CFB433A8D}" id="{4A2CDBC8-1035-42EA-A914-EC49E1A3E383}">
    <text xml:space="preserve">Site SP </text>
  </threadedComment>
  <threadedComment ref="AE110" dT="2026-03-05T23:29:53.55" personId="{4B9877A3-37E0-4B79-AE8D-FD5CFB433A8D}" id="{57C024E2-B777-46D7-97B0-7AFAFD1F7C80}">
    <text xml:space="preserve">SITE SP
</text>
  </threadedComment>
  <threadedComment ref="I111" dT="2026-03-19T21:25:50.61" personId="{4B9877A3-37E0-4B79-AE8D-FD5CFB433A8D}" id="{1A9A92EB-81BA-4B96-9356-AAD0D89A299A}">
    <text>Cambio de horario 9 a 8</text>
  </threadedComment>
  <threadedComment ref="M111" dT="2026-02-24T21:54:18.45" personId="{4B9877A3-37E0-4B79-AE8D-FD5CFB433A8D}" id="{0C002946-7824-4579-98CA-0AF05E1C70B7}">
    <text>Vacaciones</text>
  </threadedComment>
  <threadedComment ref="AB111" dT="2026-03-16T18:22:21.31" personId="{4B9877A3-37E0-4B79-AE8D-FD5CFB433A8D}" id="{21092F59-00E9-4DD7-A3C3-4FE6E0454E0D}">
    <text xml:space="preserve">Apoyo SP </text>
  </threadedComment>
  <threadedComment ref="Y112" dT="2026-02-24T21:54:18.45" personId="{4B9877A3-37E0-4B79-AE8D-FD5CFB433A8D}" id="{DFEACB30-9801-4B45-B3E6-4AC80A45A27D}">
    <text>Vacaciones</text>
  </threadedComment>
  <threadedComment ref="Y113" dT="2026-02-24T21:54:18.45" personId="{4B9877A3-37E0-4B79-AE8D-FD5CFB433A8D}" id="{B94A4AC3-73BD-4220-9E02-569841B722EB}">
    <text>Vacaciones</text>
  </threadedComment>
  <threadedComment ref="V118" dT="2026-03-23T20:31:35.11" personId="{4B9877A3-37E0-4B79-AE8D-FD5CFB433A8D}" id="{1765926F-4739-4E15-8327-5B77D5924328}">
    <text>18:30 por reposición de tiempo</text>
  </threadedComment>
  <threadedComment ref="Y118" dT="2026-02-24T21:54:18.45" personId="{4B9877A3-37E0-4B79-AE8D-FD5CFB433A8D}" id="{70ED15F9-F545-4705-8F64-B0957BB2DE1E}">
    <text>Vacaciones</text>
  </threadedComment>
  <threadedComment ref="V119" dT="2026-03-23T20:31:35.11" personId="{4B9877A3-37E0-4B79-AE8D-FD5CFB433A8D}" id="{18D8DF60-8010-4036-BF42-47C341435FBE}">
    <text>18:30 por reposición de tiempo</text>
  </threadedComment>
  <threadedComment ref="Y119" dT="2026-02-24T21:54:18.45" personId="{4B9877A3-37E0-4B79-AE8D-FD5CFB433A8D}" id="{9E9744AE-B5CF-46D5-AFF9-2C6525503B24}">
    <text>Vacaciones</text>
  </threadedComment>
  <threadedComment ref="J120" dT="2026-03-19T20:32:20.22" personId="{4B9877A3-37E0-4B79-AE8D-FD5CFB433A8D}" id="{CF531318-A6C2-4B03-BA63-5CAA57529BFF}">
    <text>½ Vacaciones</text>
  </threadedComment>
  <threadedComment ref="V120" dT="2026-03-23T20:31:35.11" personId="{4B9877A3-37E0-4B79-AE8D-FD5CFB433A8D}" id="{962ECEDA-2860-4A1E-ADC0-EA75B5261480}">
    <text>18:30 por reposición de tiempo</text>
  </threadedComment>
  <threadedComment ref="V121" dT="2026-03-23T20:32:51.81" personId="{4B9877A3-37E0-4B79-AE8D-FD5CFB433A8D}" id="{C147635C-D27C-4DFF-9EBA-CBE7DFCC9B3E}">
    <text>Se retira 13:30 por permiso personal</text>
  </threadedComment>
  <threadedComment ref="V122" dT="2026-03-23T20:30:50.32" personId="{4B9877A3-37E0-4B79-AE8D-FD5CFB433A8D}" id="{006ED6ED-2499-4512-B234-B7F3E07AC929}">
    <text xml:space="preserve">13:30 por permiso de votación </text>
  </threadedComment>
  <threadedComment ref="AE122" dT="2026-03-05T23:29:53.55" personId="{4B9877A3-37E0-4B79-AE8D-FD5CFB433A8D}" id="{96A26DB1-6740-47CA-A48D-1266AB60190F}">
    <text xml:space="preserve">SITE SP
</text>
  </threadedComment>
  <threadedComment ref="V123" dT="2026-03-23T20:32:28.86" personId="{4B9877A3-37E0-4B79-AE8D-FD5CFB433A8D}" id="{49134B98-35B4-4EED-BEE9-3DBF37583C68}">
    <text>Repone hasta 14pm</text>
  </threadedComment>
  <threadedComment ref="D130" dT="2026-02-26T15:50:16.21" personId="{4B9877A3-37E0-4B79-AE8D-FD5CFB433A8D}" id="{C78F6F88-C8D8-4E9B-842F-4AFF20B80C0B}">
    <text>Feriado no laborado</text>
  </threadedComment>
  <threadedComment ref="G130" dT="2026-02-26T15:30:29.07" personId="{4B9877A3-37E0-4B79-AE8D-FD5CFB433A8D}" id="{435377C6-4415-4E4F-A2E4-16C4E5528C04}">
    <text>Feriado no laborado</text>
  </threadedComment>
  <threadedComment ref="J130" dT="2026-02-26T15:30:29.07" personId="{4B9877A3-37E0-4B79-AE8D-FD5CFB433A8D}" id="{63CE3D70-4F13-4BB8-A2E1-AA24424AAA4C}">
    <text>Feriado no laborado</text>
  </threadedComment>
  <threadedComment ref="M130" dT="2026-02-26T15:47:21.37" personId="{4B9877A3-37E0-4B79-AE8D-FD5CFB433A8D}" id="{CD35DF90-2D56-4194-8252-47F72BD1ADD5}">
    <text>Feriado Laborado</text>
  </threadedComment>
  <threadedComment ref="P130" dT="2026-02-26T15:30:29.07" personId="{4B9877A3-37E0-4B79-AE8D-FD5CFB433A8D}" id="{CAD7BB8D-3D94-447C-864E-0D10B352FCA9}">
    <text>Feriado no laborado</text>
  </threadedComment>
  <threadedComment ref="S130" dT="2026-02-26T15:30:29.07" personId="{4B9877A3-37E0-4B79-AE8D-FD5CFB433A8D}" id="{B82FD9F8-285E-49E8-9A50-E205AC27A692}">
    <text>Feriado laborado</text>
  </threadedComment>
  <threadedComment ref="V130" dT="2026-02-26T15:30:29.07" personId="{4B9877A3-37E0-4B79-AE8D-FD5CFB433A8D}" id="{69AB23C1-4965-4B8F-9B40-ACB94A70FCC6}">
    <text>Feriado no laborado</text>
  </threadedComment>
  <threadedComment ref="Y130" dT="2026-02-26T15:30:29.07" personId="{4B9877A3-37E0-4B79-AE8D-FD5CFB433A8D}" id="{2ABBC4BA-CB05-4577-9DAB-418264D711B6}">
    <text>Feriado no laborado</text>
  </threadedComment>
  <threadedComment ref="AB130" dT="2026-02-26T15:30:29.07" personId="{4B9877A3-37E0-4B79-AE8D-FD5CFB433A8D}" id="{1CCD1E22-2FC0-4684-BC69-046272FC78B9}">
    <text>Feriado no laborado</text>
  </threadedComment>
  <threadedComment ref="AE130" dT="2026-02-26T16:24:42.06" personId="{4B9877A3-37E0-4B79-AE8D-FD5CFB433A8D}" id="{5C6AFCED-3FDB-4723-9AFB-940EC962E114}">
    <text>Feriado no laborado</text>
  </threadedComment>
  <threadedComment ref="D131" dT="2026-02-26T15:50:16.21" personId="{4B9877A3-37E0-4B79-AE8D-FD5CFB433A8D}" id="{D350CB4B-F1AF-4F3E-86F8-F4E0FD25DCF1}">
    <text>Feriado no laborado</text>
  </threadedComment>
  <threadedComment ref="G131" dT="2026-02-26T15:30:29.07" personId="{4B9877A3-37E0-4B79-AE8D-FD5CFB433A8D}" id="{B069959C-637E-4BD5-9D5F-34852AB09E9E}">
    <text>Feriado no laborado</text>
  </threadedComment>
  <threadedComment ref="J131" dT="2026-02-26T15:30:29.07" personId="{4B9877A3-37E0-4B79-AE8D-FD5CFB433A8D}" id="{C820FE78-F3CE-442B-8215-19DC1FDC2A33}">
    <text>Feriado no laborado</text>
  </threadedComment>
  <threadedComment ref="M131" dT="2026-02-26T15:47:21.37" personId="{4B9877A3-37E0-4B79-AE8D-FD5CFB433A8D}" id="{AA7716B5-38FD-4E01-8CD1-C335F9056777}">
    <text>Feriado Laborado</text>
  </threadedComment>
  <threadedComment ref="P131" dT="2026-02-26T15:30:29.07" personId="{4B9877A3-37E0-4B79-AE8D-FD5CFB433A8D}" id="{49453019-2DB5-4B94-B459-08347E945126}">
    <text>Feriado no laborado</text>
  </threadedComment>
  <threadedComment ref="S131" dT="2026-02-26T15:30:29.07" personId="{4B9877A3-37E0-4B79-AE8D-FD5CFB433A8D}" id="{24EF7D10-9759-40DD-91AA-D9A58C7757E7}">
    <text>Feriado laborado</text>
  </threadedComment>
  <threadedComment ref="V131" dT="2026-02-26T15:30:29.07" personId="{4B9877A3-37E0-4B79-AE8D-FD5CFB433A8D}" id="{C2C09575-DAE2-404B-A6A0-09C4FE3EDE85}">
    <text>Feriado no laborado</text>
  </threadedComment>
  <threadedComment ref="Y131" dT="2026-02-26T15:30:29.07" personId="{4B9877A3-37E0-4B79-AE8D-FD5CFB433A8D}" id="{742F9253-2FBC-4142-836F-DA32D93BD611}">
    <text>Feriado no laborado</text>
  </threadedComment>
  <threadedComment ref="AB131" dT="2026-02-26T15:30:29.07" personId="{4B9877A3-37E0-4B79-AE8D-FD5CFB433A8D}" id="{706E56E5-8057-43CF-86E0-91D9DC27CCCA}">
    <text>Feriado no laborado</text>
  </threadedComment>
  <threadedComment ref="AE131" dT="2026-02-26T16:24:42.06" personId="{4B9877A3-37E0-4B79-AE8D-FD5CFB433A8D}" id="{06F3834D-3E62-4329-A936-A7FA53A986B8}">
    <text>Feriado no laborado</text>
  </threadedComment>
  <threadedComment ref="V135" dT="2026-04-08T15:59:10.75" personId="{4B9877A3-37E0-4B79-AE8D-FD5CFB433A8D}" id="{7DF5CAB5-57C3-49D3-B08C-961E65BC1FE6}">
    <text xml:space="preserve">Se retira 18:15 por cita médica </text>
  </threadedComment>
  <threadedComment ref="P138" dT="2026-03-31T22:32:32.13" personId="{4B9877A3-37E0-4B79-AE8D-FD5CFB433A8D}" id="{1419E7C6-86C5-43BB-9229-B5C3671748E7}">
    <text>CAPACITACIÓN</text>
  </threadedComment>
  <threadedComment ref="S138" dT="2026-03-31T22:30:18.14" personId="{4B9877A3-37E0-4B79-AE8D-FD5CFB433A8D}" id="{30816CDF-7155-4A09-95CE-5DD139D76538}">
    <text>Site SP Y CAPACITACIÓN</text>
  </threadedComment>
  <threadedComment ref="V138" dT="2026-03-31T22:37:31.01" personId="{4B9877A3-37E0-4B79-AE8D-FD5CFB433A8D}" id="{CE659B02-C205-4BA6-880F-0B7FA7EE3D08}">
    <text>CAPACITACIÓN</text>
  </threadedComment>
  <threadedComment ref="P139" dT="2026-03-31T22:32:32.13" personId="{4B9877A3-37E0-4B79-AE8D-FD5CFB433A8D}" id="{C386B407-6E20-4AC0-AE36-5B92B71310CF}">
    <text>CAPACITACIÓN</text>
  </threadedComment>
  <threadedComment ref="S139" dT="2026-03-31T22:32:32.13" personId="{4B9877A3-37E0-4B79-AE8D-FD5CFB433A8D}" id="{942089DB-BB80-4737-8F76-69FCF4BA8AA4}">
    <text>CAPACITACIÓN</text>
  </threadedComment>
  <threadedComment ref="V139" dT="2026-03-31T22:37:31.01" personId="{4B9877A3-37E0-4B79-AE8D-FD5CFB433A8D}" id="{B8826298-AA29-4F63-BBD8-C4D23C03E352}">
    <text>CAPACITACIÓN</text>
  </threadedComment>
  <threadedComment ref="P143" dT="2026-03-31T22:34:36.30" personId="{4B9877A3-37E0-4B79-AE8D-FD5CFB433A8D}" id="{5932E883-3EEF-47CC-B048-84053432C87E}">
    <text>CAPACITACIÓN</text>
  </threadedComment>
  <threadedComment ref="S143" dT="2026-03-31T22:34:36.30" personId="{4B9877A3-37E0-4B79-AE8D-FD5CFB433A8D}" id="{F6FD1ED9-9945-4006-8D1B-479285646C13}">
    <text>CAPACITACIÓN</text>
  </threadedComment>
  <threadedComment ref="V143" dT="2026-03-31T22:37:31.01" personId="{4B9877A3-37E0-4B79-AE8D-FD5CFB433A8D}" id="{B678BD9F-FAB7-4022-954D-143EA8016D44}">
    <text>CAPACITACIÓN</text>
  </threadedComment>
  <threadedComment ref="D163" dT="2026-03-30T16:30:21.29" personId="{4B9877A3-37E0-4B79-AE8D-FD5CFB433A8D}" id="{9097723F-80DC-4507-9CA2-DD33BF7F361B}">
    <text>Feriado Laborado</text>
  </threadedComment>
  <threadedComment ref="G163" dT="2026-03-30T16:30:54.28" personId="{4B9877A3-37E0-4B79-AE8D-FD5CFB433A8D}" id="{A79E7199-9C19-449F-B243-0338422A5EE6}">
    <text>Feriado no laborado</text>
  </threadedComment>
  <threadedComment ref="J163" dT="2026-03-30T16:30:54.28" personId="{4B9877A3-37E0-4B79-AE8D-FD5CFB433A8D}" id="{DC4D8490-54A2-4B0B-90FC-0024A3800692}">
    <text>Feriado no laborado</text>
  </threadedComment>
  <threadedComment ref="M163" dT="2026-03-30T16:30:54.28" personId="{4B9877A3-37E0-4B79-AE8D-FD5CFB433A8D}" id="{D7B9275B-F8A3-49B0-8204-9424BF37CBB7}">
    <text>Feriado no laborado</text>
  </threadedComment>
  <threadedComment ref="P163" dT="2026-03-30T16:30:54.28" personId="{4B9877A3-37E0-4B79-AE8D-FD5CFB433A8D}" id="{837ABB78-2D38-492D-9D9D-A51F79CB701B}">
    <text>Feriado no laborado</text>
  </threadedComment>
  <threadedComment ref="S163" dT="2026-03-30T16:29:59.17" personId="{4B9877A3-37E0-4B79-AE8D-FD5CFB433A8D}" id="{25B10B8F-CBEF-4C4C-BBF7-694952A63307}">
    <text>Feriado laborado</text>
  </threadedComment>
  <threadedComment ref="V163" dT="2026-03-30T16:30:54.28" personId="{4B9877A3-37E0-4B79-AE8D-FD5CFB433A8D}" id="{3A78F01E-007E-4E57-A2D0-7E722B6E6F6F}">
    <text>Feriado no laborado</text>
  </threadedComment>
  <threadedComment ref="Y163" dT="2026-03-30T16:30:54.28" personId="{4B9877A3-37E0-4B79-AE8D-FD5CFB433A8D}" id="{52E9FA19-5960-4C56-B1C1-54D6F1106A06}">
    <text>Feriado no laborado</text>
  </threadedComment>
  <threadedComment ref="AB163" dT="2026-03-30T16:30:54.28" personId="{4B9877A3-37E0-4B79-AE8D-FD5CFB433A8D}" id="{9C857760-1088-461B-92CE-05C92F191922}">
    <text>Feriado no laborado</text>
  </threadedComment>
  <threadedComment ref="AE163" dT="2026-04-27T21:01:12.26" personId="{4B9877A3-37E0-4B79-AE8D-FD5CFB433A8D}" id="{00AA7F19-90C5-4C41-86C7-86D6D59D27E6}">
    <text>Feriado no laborado</text>
  </threadedComment>
  <threadedComment ref="S170" dT="2026-04-24T16:26:03.79" personId="{4B9877A3-37E0-4B79-AE8D-FD5CFB433A8D}" id="{11D619D0-74F8-4A76-82E4-062BF676F2BD}">
    <text xml:space="preserve">Site SP
</text>
  </threadedComment>
  <threadedComment ref="AE180" dT="2026-04-24T18:17:00.11" personId="{4B9877A3-37E0-4B79-AE8D-FD5CFB433A8D}" id="{249C6A80-EB2A-477B-A238-FD7EF3902B6D}">
    <text>Vacaciones</text>
  </threadedComment>
  <threadedComment ref="AE181" dT="2026-04-24T18:17:09.77" personId="{4B9877A3-37E0-4B79-AE8D-FD5CFB433A8D}" id="{E08718BB-2FEB-4B39-92E3-E1A296D33B32}">
    <text>Vacaciones 0.5</text>
  </threadedComment>
  <threadedComment ref="AE187" dT="2026-04-27T18:48:38.73" personId="{4B9877A3-37E0-4B79-AE8D-FD5CFB433A8D}" id="{520784E6-ED45-4197-8D9F-F7BF919F9FBF}">
    <text>Se retira 13:12, permiso sin goce 1hr:12min de almuerzo</text>
  </threadedComment>
  <threadedComment ref="S188" dT="2026-04-24T16:55:18.57" personId="{4B9877A3-37E0-4B79-AE8D-FD5CFB433A8D}" id="{04E8D099-34DE-4C6A-82B4-99462B7C5692}">
    <text xml:space="preserve">Usa mi campo de parqueo </text>
  </threadedComment>
  <threadedComment ref="AE188" dT="2026-04-24T18:18:42.43" personId="{4B9877A3-37E0-4B79-AE8D-FD5CFB433A8D}" id="{40F44D3F-7504-4064-B393-759B1D25A959}">
    <text>Vacaciones</text>
  </threadedComment>
  <threadedComment ref="S189" dT="2026-04-24T16:55:18.57" personId="{4B9877A3-37E0-4B79-AE8D-FD5CFB433A8D}" id="{319063EF-2C86-4801-AB0A-42082F6C491F}">
    <text xml:space="preserve">Usa mi campo de parqueo </text>
  </threadedComment>
  <threadedComment ref="AE189" dT="2026-04-24T18:19:30.54" personId="{4B9877A3-37E0-4B79-AE8D-FD5CFB433A8D}" id="{057547CB-A907-4B55-96AF-B904AEA2327D}">
    <text xml:space="preserve">Permiso sin goce </text>
  </threadedComment>
  <threadedComment ref="AE190" dT="2026-04-24T18:19:37.55" personId="{4B9877A3-37E0-4B79-AE8D-FD5CFB433A8D}" id="{D57C7E65-6DCF-4E8E-B8EF-21318C96C7A2}">
    <text>Vacaciones</text>
  </threadedComment>
  <threadedComment ref="S195" dT="2026-04-24T16:55:18.57" personId="{4B9877A3-37E0-4B79-AE8D-FD5CFB433A8D}" id="{6C254B4A-DB1C-435C-8C9D-634AE6FFD4BC}">
    <text xml:space="preserve">Usa mi campo de parqueo </text>
  </threadedComment>
  <threadedComment ref="AE195" dT="2026-04-27T18:49:43.10" personId="{4B9877A3-37E0-4B79-AE8D-FD5CFB433A8D}" id="{98458DAC-6C37-44BB-958E-D304BDCD548F}">
    <text>Sin goce</text>
  </threadedComment>
  <threadedComment ref="S196" dT="2026-04-27T14:46:53.72" personId="{4B9877A3-37E0-4B79-AE8D-FD5CFB433A8D}" id="{DCCA4EFF-5090-4A0B-8BA8-04170D3AAF49}">
    <text>SP</text>
  </threadedComment>
  <threadedComment ref="S198" dT="2026-04-27T14:47:46.00" personId="{4B9877A3-37E0-4B79-AE8D-FD5CFB433A8D}" id="{3FEABC3C-3746-4D84-8490-C82C58AC5448}">
    <text>SP</text>
  </threadedComment>
  <threadedComment ref="S199" dT="2026-04-27T14:47:46.00" personId="{4B9877A3-37E0-4B79-AE8D-FD5CFB433A8D}" id="{B5E4F1EB-E63B-468D-BD0C-548D72521127}">
    <text>SP</text>
  </threadedComment>
  <threadedComment ref="Y210" dT="2026-03-30T16:30:54.28" personId="{4B9877A3-37E0-4B79-AE8D-FD5CFB433A8D}" id="{C4268EDD-CA9E-49A0-BEE0-6B12DC0354CC}">
    <text>Feriado no laborado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27A2-4878-421D-8C98-472677B9C37F}">
  <dimension ref="A1:AE18"/>
  <sheetViews>
    <sheetView workbookViewId="0">
      <selection activeCell="T8" sqref="T8:V8"/>
    </sheetView>
  </sheetViews>
  <sheetFormatPr baseColWidth="10" defaultColWidth="8" defaultRowHeight="13.5" x14ac:dyDescent="0.25"/>
  <cols>
    <col min="1" max="1" width="10.5703125" style="56" customWidth="1"/>
    <col min="2" max="2" width="0" style="56" hidden="1" customWidth="1"/>
    <col min="3" max="3" width="7.140625" style="56" hidden="1" customWidth="1"/>
    <col min="4" max="4" width="0" style="56" hidden="1" customWidth="1"/>
    <col min="5" max="6" width="8" style="56"/>
    <col min="7" max="7" width="10.5703125" style="56" customWidth="1"/>
    <col min="8" max="10" width="0" style="56" hidden="1" customWidth="1"/>
    <col min="11" max="12" width="8" style="56"/>
    <col min="13" max="13" width="13.42578125" style="56" customWidth="1"/>
    <col min="14" max="15" width="8" style="56"/>
    <col min="16" max="16" width="13.5703125" style="56" customWidth="1"/>
    <col min="17" max="19" width="0" style="56" hidden="1" customWidth="1"/>
    <col min="20" max="21" width="8" style="56"/>
    <col min="22" max="22" width="12.28515625" style="56" customWidth="1"/>
    <col min="23" max="24" width="8" style="56"/>
    <col min="25" max="25" width="14.140625" style="56" customWidth="1"/>
    <col min="26" max="27" width="8" style="56"/>
    <col min="28" max="28" width="12" style="56" customWidth="1"/>
    <col min="29" max="30" width="8" style="56"/>
    <col min="31" max="31" width="16.5703125" style="56" customWidth="1"/>
    <col min="32" max="16384" width="8" style="56"/>
  </cols>
  <sheetData>
    <row r="1" spans="1:31" ht="39.75" customHeight="1" x14ac:dyDescent="0.25">
      <c r="A1" s="51" t="s">
        <v>0</v>
      </c>
      <c r="B1" s="116" t="s">
        <v>1</v>
      </c>
      <c r="C1" s="116"/>
      <c r="D1" s="50"/>
      <c r="E1" s="116" t="s">
        <v>2</v>
      </c>
      <c r="F1" s="116"/>
      <c r="G1" s="50"/>
      <c r="H1" s="116" t="s">
        <v>3</v>
      </c>
      <c r="I1" s="116"/>
      <c r="J1" s="52"/>
      <c r="K1" s="116" t="s">
        <v>4</v>
      </c>
      <c r="L1" s="116"/>
      <c r="M1" s="50"/>
      <c r="N1" s="116" t="s">
        <v>5</v>
      </c>
      <c r="O1" s="116"/>
      <c r="P1" s="50"/>
      <c r="Q1" s="116" t="s">
        <v>6</v>
      </c>
      <c r="R1" s="116"/>
      <c r="S1" s="53"/>
      <c r="T1" s="116" t="s">
        <v>7</v>
      </c>
      <c r="U1" s="116"/>
      <c r="V1" s="54"/>
      <c r="W1" s="116" t="s">
        <v>8</v>
      </c>
      <c r="X1" s="116"/>
      <c r="Y1" s="50"/>
      <c r="Z1" s="116" t="s">
        <v>30</v>
      </c>
      <c r="AA1" s="116"/>
      <c r="AB1" s="50"/>
      <c r="AC1" s="116" t="s">
        <v>10</v>
      </c>
      <c r="AD1" s="116"/>
      <c r="AE1" s="55"/>
    </row>
    <row r="2" spans="1:31" x14ac:dyDescent="0.25">
      <c r="A2" s="57">
        <v>45838</v>
      </c>
      <c r="B2" s="58">
        <v>0.29166666666666669</v>
      </c>
      <c r="C2" s="58">
        <v>0.70833333333333337</v>
      </c>
      <c r="D2" s="59">
        <v>10</v>
      </c>
      <c r="E2" s="58">
        <v>0.375</v>
      </c>
      <c r="F2" s="58">
        <v>0.75</v>
      </c>
      <c r="G2" s="59" t="s">
        <v>52</v>
      </c>
      <c r="H2" s="58">
        <v>0.75</v>
      </c>
      <c r="I2" s="58">
        <v>0</v>
      </c>
      <c r="J2" s="59">
        <v>6</v>
      </c>
      <c r="K2" s="60">
        <v>0.33333333333333331</v>
      </c>
      <c r="L2" s="60">
        <v>0.70833333333333337</v>
      </c>
      <c r="M2" s="59" t="s">
        <v>51</v>
      </c>
      <c r="N2" s="58">
        <v>0.33333333333333331</v>
      </c>
      <c r="O2" s="58">
        <v>0.75</v>
      </c>
      <c r="P2" s="59" t="s">
        <v>55</v>
      </c>
      <c r="Q2" s="58">
        <v>0.33333333333333331</v>
      </c>
      <c r="R2" s="58">
        <v>0.73333333333333328</v>
      </c>
      <c r="S2" s="61"/>
      <c r="T2" s="58">
        <v>0.33333333333333331</v>
      </c>
      <c r="U2" s="58">
        <v>0.70833333333333337</v>
      </c>
      <c r="V2" s="59" t="s">
        <v>53</v>
      </c>
      <c r="W2" s="58">
        <v>0.33333333333333331</v>
      </c>
      <c r="X2" s="58">
        <v>0.75</v>
      </c>
      <c r="Y2" s="62" t="s">
        <v>54</v>
      </c>
      <c r="Z2" s="60">
        <v>0.375</v>
      </c>
      <c r="AA2" s="60">
        <v>0.75</v>
      </c>
      <c r="AB2" s="62" t="s">
        <v>54</v>
      </c>
      <c r="AC2" s="58">
        <v>0.33333333333333331</v>
      </c>
      <c r="AD2" s="58">
        <v>0.75</v>
      </c>
      <c r="AE2" s="59" t="s">
        <v>56</v>
      </c>
    </row>
    <row r="3" spans="1:31" x14ac:dyDescent="0.25">
      <c r="A3" s="57">
        <v>45839</v>
      </c>
      <c r="B3" s="58">
        <v>0.29166666666666669</v>
      </c>
      <c r="C3" s="58">
        <v>0.70833333333333337</v>
      </c>
      <c r="D3" s="59">
        <v>10</v>
      </c>
      <c r="E3" s="58">
        <v>0.33333333333333331</v>
      </c>
      <c r="F3" s="58">
        <v>0.75</v>
      </c>
      <c r="G3" s="59" t="s">
        <v>52</v>
      </c>
      <c r="H3" s="58">
        <v>0.75</v>
      </c>
      <c r="I3" s="58">
        <v>0</v>
      </c>
      <c r="J3" s="59">
        <v>6</v>
      </c>
      <c r="K3" s="63">
        <v>0.375</v>
      </c>
      <c r="L3" s="63">
        <v>0.66666666666666663</v>
      </c>
      <c r="M3" s="59" t="s">
        <v>51</v>
      </c>
      <c r="N3" s="58">
        <v>0.33333333333333331</v>
      </c>
      <c r="O3" s="58">
        <v>0.75</v>
      </c>
      <c r="P3" s="59" t="s">
        <v>55</v>
      </c>
      <c r="Q3" s="58">
        <v>0.33333333333333331</v>
      </c>
      <c r="R3" s="58">
        <v>0.73333333333333328</v>
      </c>
      <c r="S3" s="61"/>
      <c r="T3" s="58">
        <v>0.375</v>
      </c>
      <c r="U3" s="58">
        <v>0.66666666666666663</v>
      </c>
      <c r="V3" s="59" t="s">
        <v>53</v>
      </c>
      <c r="W3" s="58">
        <v>0.33333333333333331</v>
      </c>
      <c r="X3" s="58">
        <v>0.75</v>
      </c>
      <c r="Y3" s="62" t="s">
        <v>54</v>
      </c>
      <c r="Z3" s="58">
        <v>0.33333333333333331</v>
      </c>
      <c r="AA3" s="58">
        <v>0.75</v>
      </c>
      <c r="AB3" s="62" t="s">
        <v>54</v>
      </c>
      <c r="AC3" s="58">
        <v>0.33333333333333331</v>
      </c>
      <c r="AD3" s="58">
        <v>0.70833333333333337</v>
      </c>
      <c r="AE3" s="59" t="s">
        <v>56</v>
      </c>
    </row>
    <row r="4" spans="1:31" x14ac:dyDescent="0.25">
      <c r="A4" s="57">
        <v>45840</v>
      </c>
      <c r="B4" s="58">
        <v>0.29166666666666669</v>
      </c>
      <c r="C4" s="58">
        <v>0.70833333333333337</v>
      </c>
      <c r="D4" s="59">
        <v>10</v>
      </c>
      <c r="E4" s="58">
        <v>0.375</v>
      </c>
      <c r="F4" s="58">
        <v>0.75</v>
      </c>
      <c r="G4" s="59" t="s">
        <v>52</v>
      </c>
      <c r="H4" s="58">
        <v>0.75</v>
      </c>
      <c r="I4" s="58">
        <v>0</v>
      </c>
      <c r="J4" s="59">
        <v>6</v>
      </c>
      <c r="K4" s="60">
        <v>0.33333333333333331</v>
      </c>
      <c r="L4" s="60">
        <v>0.66666666666666663</v>
      </c>
      <c r="M4" s="59" t="s">
        <v>51</v>
      </c>
      <c r="N4" s="58">
        <v>0.33333333333333331</v>
      </c>
      <c r="O4" s="58">
        <v>0.70833333333333337</v>
      </c>
      <c r="P4" s="59" t="s">
        <v>55</v>
      </c>
      <c r="Q4" s="58">
        <v>0.33333333333333331</v>
      </c>
      <c r="R4" s="58">
        <v>0.73333333333333328</v>
      </c>
      <c r="S4" s="61"/>
      <c r="T4" s="58">
        <v>0.33333333333333331</v>
      </c>
      <c r="U4" s="58">
        <v>0.66666666666666663</v>
      </c>
      <c r="V4" s="59" t="s">
        <v>53</v>
      </c>
      <c r="W4" s="58">
        <v>0.33333333333333331</v>
      </c>
      <c r="X4" s="58">
        <v>0.75</v>
      </c>
      <c r="Y4" s="62" t="s">
        <v>54</v>
      </c>
      <c r="Z4" s="58">
        <v>0.375</v>
      </c>
      <c r="AA4" s="58">
        <v>0.75</v>
      </c>
      <c r="AB4" s="62" t="s">
        <v>54</v>
      </c>
      <c r="AC4" s="58">
        <v>0.375</v>
      </c>
      <c r="AD4" s="58">
        <v>0.75</v>
      </c>
      <c r="AE4" s="59" t="s">
        <v>56</v>
      </c>
    </row>
    <row r="5" spans="1:31" x14ac:dyDescent="0.25">
      <c r="A5" s="57">
        <v>45841</v>
      </c>
      <c r="B5" s="58">
        <v>0.29166666666666669</v>
      </c>
      <c r="C5" s="58">
        <v>0.66666666666666663</v>
      </c>
      <c r="D5" s="59">
        <v>9</v>
      </c>
      <c r="E5" s="58">
        <v>0.33333333333333331</v>
      </c>
      <c r="F5" s="58">
        <v>0.75</v>
      </c>
      <c r="G5" s="59" t="s">
        <v>52</v>
      </c>
      <c r="H5" s="58">
        <v>0.75</v>
      </c>
      <c r="I5" s="58">
        <v>0</v>
      </c>
      <c r="J5" s="59">
        <v>6</v>
      </c>
      <c r="K5" s="63">
        <v>0.375</v>
      </c>
      <c r="L5" s="63">
        <v>0.66666666666666663</v>
      </c>
      <c r="M5" s="59" t="s">
        <v>51</v>
      </c>
      <c r="N5" s="58">
        <v>0.33333333333333331</v>
      </c>
      <c r="O5" s="58">
        <v>0.75</v>
      </c>
      <c r="P5" s="59" t="s">
        <v>55</v>
      </c>
      <c r="Q5" s="58">
        <v>0.33333333333333331</v>
      </c>
      <c r="R5" s="58">
        <v>0.73333333333333328</v>
      </c>
      <c r="S5" s="61"/>
      <c r="T5" s="58">
        <v>0.375</v>
      </c>
      <c r="U5" s="58">
        <v>0.66666666666666663</v>
      </c>
      <c r="V5" s="59" t="s">
        <v>53</v>
      </c>
      <c r="W5" s="58">
        <v>0.33333333333333331</v>
      </c>
      <c r="X5" s="58">
        <v>0.75</v>
      </c>
      <c r="Y5" s="62" t="s">
        <v>54</v>
      </c>
      <c r="Z5" s="58">
        <v>0.33333333333333331</v>
      </c>
      <c r="AA5" s="58">
        <v>0.75</v>
      </c>
      <c r="AB5" s="62" t="s">
        <v>54</v>
      </c>
      <c r="AC5" s="58">
        <v>0.33333333333333331</v>
      </c>
      <c r="AD5" s="58">
        <v>0.75</v>
      </c>
      <c r="AE5" s="59" t="s">
        <v>56</v>
      </c>
    </row>
    <row r="6" spans="1:31" x14ac:dyDescent="0.25">
      <c r="A6" s="57">
        <v>45842</v>
      </c>
      <c r="B6" s="58">
        <v>0.29166666666666669</v>
      </c>
      <c r="C6" s="58">
        <v>0.66666666666666663</v>
      </c>
      <c r="D6" s="59">
        <v>9</v>
      </c>
      <c r="E6" s="58">
        <v>0.33333333333333331</v>
      </c>
      <c r="F6" s="58">
        <v>0.75</v>
      </c>
      <c r="G6" s="59" t="s">
        <v>52</v>
      </c>
      <c r="H6" s="58">
        <v>0.75</v>
      </c>
      <c r="I6" s="58">
        <v>0</v>
      </c>
      <c r="J6" s="59">
        <v>6</v>
      </c>
      <c r="K6" s="60">
        <v>0.375</v>
      </c>
      <c r="L6" s="60">
        <v>0.66666666666666663</v>
      </c>
      <c r="M6" s="59" t="s">
        <v>51</v>
      </c>
      <c r="N6" s="58">
        <v>0.33333333333333331</v>
      </c>
      <c r="O6" s="58">
        <v>0.70833333333333337</v>
      </c>
      <c r="P6" s="59" t="s">
        <v>55</v>
      </c>
      <c r="Q6" s="58">
        <v>0.33333333333333331</v>
      </c>
      <c r="R6" s="58">
        <v>0.73333333333333328</v>
      </c>
      <c r="S6" s="61"/>
      <c r="T6" s="58">
        <v>0.33333333333333331</v>
      </c>
      <c r="U6" s="58">
        <v>0.625</v>
      </c>
      <c r="V6" s="59" t="s">
        <v>53</v>
      </c>
      <c r="W6" s="58">
        <v>0.33333333333333331</v>
      </c>
      <c r="X6" s="58">
        <v>0.66666666666666663</v>
      </c>
      <c r="Y6" s="62" t="s">
        <v>54</v>
      </c>
      <c r="Z6" s="58">
        <v>0.33333333333333331</v>
      </c>
      <c r="AA6" s="58">
        <v>0.75</v>
      </c>
      <c r="AB6" s="62" t="s">
        <v>54</v>
      </c>
      <c r="AC6" s="58">
        <v>0.33333333333333331</v>
      </c>
      <c r="AD6" s="58">
        <v>0.75</v>
      </c>
      <c r="AE6" s="59" t="s">
        <v>56</v>
      </c>
    </row>
    <row r="7" spans="1:31" x14ac:dyDescent="0.25">
      <c r="A7" s="57">
        <v>45843</v>
      </c>
      <c r="B7" s="57"/>
      <c r="C7" s="57"/>
      <c r="D7" s="57"/>
      <c r="E7" s="64"/>
      <c r="F7" s="64"/>
      <c r="G7" s="59"/>
      <c r="H7" s="60">
        <v>0.75</v>
      </c>
      <c r="I7" s="60">
        <v>0</v>
      </c>
      <c r="J7" s="59">
        <v>6</v>
      </c>
      <c r="K7" s="65">
        <v>0.33333333333333331</v>
      </c>
      <c r="L7" s="65">
        <v>0.75</v>
      </c>
      <c r="M7" s="66">
        <v>10</v>
      </c>
      <c r="N7" s="64"/>
      <c r="O7" s="64"/>
      <c r="P7" s="67"/>
      <c r="Q7" s="60"/>
      <c r="R7" s="60"/>
      <c r="S7" s="68"/>
      <c r="T7" s="64"/>
      <c r="U7" s="64"/>
      <c r="V7" s="67"/>
      <c r="W7" s="64"/>
      <c r="X7" s="64"/>
      <c r="Y7" s="59"/>
      <c r="Z7" s="64"/>
      <c r="AA7" s="64"/>
      <c r="AB7" s="67"/>
      <c r="AC7" s="60"/>
      <c r="AD7" s="60"/>
      <c r="AE7" s="59"/>
    </row>
    <row r="8" spans="1:31" ht="14.25" customHeight="1" x14ac:dyDescent="0.25">
      <c r="A8" s="57">
        <v>45844</v>
      </c>
      <c r="B8" s="51"/>
      <c r="C8" s="51"/>
      <c r="D8" s="55"/>
      <c r="E8" s="64"/>
      <c r="F8" s="64"/>
      <c r="G8" s="59"/>
      <c r="H8" s="60"/>
      <c r="I8" s="60"/>
      <c r="J8" s="60"/>
      <c r="K8" s="64"/>
      <c r="L8" s="64"/>
      <c r="M8" s="59"/>
      <c r="N8" s="60"/>
      <c r="O8" s="60"/>
      <c r="P8" s="59"/>
      <c r="Q8" s="60"/>
      <c r="R8" s="60"/>
      <c r="S8" s="68"/>
      <c r="T8" s="65">
        <v>0.33333333333333331</v>
      </c>
      <c r="U8" s="65">
        <v>0.75</v>
      </c>
      <c r="V8" s="66">
        <v>10</v>
      </c>
      <c r="W8" s="64"/>
      <c r="X8" s="64"/>
      <c r="Y8" s="59"/>
      <c r="Z8" s="64"/>
      <c r="AA8" s="64"/>
      <c r="AB8" s="67"/>
      <c r="AC8" s="64"/>
      <c r="AD8" s="64"/>
      <c r="AE8" s="67"/>
    </row>
    <row r="9" spans="1:31" x14ac:dyDescent="0.25">
      <c r="A9" s="51"/>
      <c r="B9" s="51"/>
      <c r="C9" s="51"/>
      <c r="D9" s="69">
        <f>SUM(D2:D8)</f>
        <v>48</v>
      </c>
      <c r="E9" s="51"/>
      <c r="F9" s="51"/>
      <c r="G9" s="69">
        <f>SUM(G2:G8)</f>
        <v>0</v>
      </c>
      <c r="H9" s="70"/>
      <c r="I9" s="70"/>
      <c r="J9" s="70"/>
      <c r="K9" s="70"/>
      <c r="L9" s="70"/>
      <c r="M9" s="69">
        <f>SUM(M2:M8)</f>
        <v>10</v>
      </c>
      <c r="N9" s="70"/>
      <c r="O9" s="70"/>
      <c r="P9" s="69">
        <f>SUM(P2:P8)</f>
        <v>0</v>
      </c>
      <c r="Q9" s="70"/>
      <c r="R9" s="70"/>
      <c r="S9" s="71">
        <f>SUM(S2:S8)</f>
        <v>0</v>
      </c>
      <c r="T9" s="70"/>
      <c r="U9" s="70"/>
      <c r="V9" s="69">
        <f>SUM(V2:V8)</f>
        <v>10</v>
      </c>
      <c r="W9" s="70"/>
      <c r="X9" s="70"/>
      <c r="Y9" s="69">
        <f>SUM(Y2:Y8)</f>
        <v>0</v>
      </c>
      <c r="Z9" s="70"/>
      <c r="AA9" s="70"/>
      <c r="AB9" s="69">
        <f>SUM(AB2:AB8)</f>
        <v>0</v>
      </c>
      <c r="AC9" s="70"/>
      <c r="AD9" s="70"/>
      <c r="AE9" s="72">
        <f>SUM(AE2:AE8)</f>
        <v>0</v>
      </c>
    </row>
    <row r="11" spans="1:31" x14ac:dyDescent="0.25">
      <c r="A11" s="57">
        <v>45845</v>
      </c>
      <c r="B11" s="58">
        <v>0.29166666666666669</v>
      </c>
      <c r="C11" s="58">
        <v>0.70833333333333337</v>
      </c>
      <c r="D11" s="59">
        <v>10</v>
      </c>
      <c r="E11" s="58">
        <v>0.33333333333333331</v>
      </c>
      <c r="F11" s="58">
        <v>0.75</v>
      </c>
      <c r="G11" s="59" t="s">
        <v>58</v>
      </c>
      <c r="H11" s="58">
        <v>0.75</v>
      </c>
      <c r="I11" s="58">
        <v>0</v>
      </c>
      <c r="J11" s="59">
        <v>6</v>
      </c>
      <c r="K11" s="60">
        <v>0.33333333333333331</v>
      </c>
      <c r="L11" s="60">
        <v>0.75</v>
      </c>
      <c r="M11" s="59" t="s">
        <v>55</v>
      </c>
      <c r="N11" s="60">
        <v>0.33333333333333331</v>
      </c>
      <c r="O11" s="60">
        <v>0.66666666666666663</v>
      </c>
      <c r="P11" s="59" t="s">
        <v>51</v>
      </c>
      <c r="Q11" s="58">
        <v>0.33333333333333331</v>
      </c>
      <c r="R11" s="58">
        <v>0.73333333333333328</v>
      </c>
      <c r="S11" s="61"/>
      <c r="T11" s="58">
        <v>0.33333333333333331</v>
      </c>
      <c r="U11" s="58">
        <v>0.70833333333333337</v>
      </c>
      <c r="V11" s="59" t="s">
        <v>57</v>
      </c>
      <c r="W11" s="60">
        <v>0.33333333333333331</v>
      </c>
      <c r="X11" s="60">
        <v>0.75</v>
      </c>
      <c r="Y11" s="59" t="s">
        <v>55</v>
      </c>
      <c r="Z11" s="60">
        <v>0.33333333333333331</v>
      </c>
      <c r="AA11" s="60">
        <v>0.66666666666666663</v>
      </c>
      <c r="AB11" s="59" t="s">
        <v>51</v>
      </c>
      <c r="AC11" s="58">
        <v>0.33333333333333331</v>
      </c>
      <c r="AD11" s="58">
        <v>0.70833333333333337</v>
      </c>
      <c r="AE11" s="59" t="s">
        <v>56</v>
      </c>
    </row>
    <row r="12" spans="1:31" x14ac:dyDescent="0.25">
      <c r="A12" s="57">
        <v>45846</v>
      </c>
      <c r="B12" s="58">
        <v>0.29166666666666669</v>
      </c>
      <c r="C12" s="58">
        <v>0.70833333333333337</v>
      </c>
      <c r="D12" s="59">
        <v>10</v>
      </c>
      <c r="E12" s="58">
        <v>0.33333333333333331</v>
      </c>
      <c r="F12" s="58">
        <v>0.75</v>
      </c>
      <c r="G12" s="59" t="s">
        <v>58</v>
      </c>
      <c r="H12" s="58">
        <v>0.75</v>
      </c>
      <c r="I12" s="58">
        <v>0</v>
      </c>
      <c r="J12" s="59">
        <v>6</v>
      </c>
      <c r="K12" s="73">
        <v>0.375</v>
      </c>
      <c r="L12" s="73">
        <v>0.75</v>
      </c>
      <c r="M12" s="59" t="s">
        <v>55</v>
      </c>
      <c r="N12" s="60">
        <v>0.33333333333333331</v>
      </c>
      <c r="O12" s="60">
        <v>0.66666666666666663</v>
      </c>
      <c r="P12" s="59" t="s">
        <v>51</v>
      </c>
      <c r="Q12" s="58">
        <v>0.29166666666666669</v>
      </c>
      <c r="R12" s="58">
        <v>0.69166666666666665</v>
      </c>
      <c r="S12" s="61"/>
      <c r="T12" s="58">
        <v>0.33333333333333331</v>
      </c>
      <c r="U12" s="58">
        <v>0.75</v>
      </c>
      <c r="V12" s="59" t="s">
        <v>57</v>
      </c>
      <c r="W12" s="58">
        <v>0.375</v>
      </c>
      <c r="X12" s="58">
        <v>0.75</v>
      </c>
      <c r="Y12" s="59" t="s">
        <v>55</v>
      </c>
      <c r="Z12" s="60">
        <v>0.33333333333333331</v>
      </c>
      <c r="AA12" s="60">
        <v>0.66666666666666663</v>
      </c>
      <c r="AB12" s="59" t="s">
        <v>51</v>
      </c>
      <c r="AC12" s="58">
        <v>0.33333333333333331</v>
      </c>
      <c r="AD12" s="58">
        <v>0.70833333333333337</v>
      </c>
      <c r="AE12" s="59" t="s">
        <v>56</v>
      </c>
    </row>
    <row r="13" spans="1:31" x14ac:dyDescent="0.25">
      <c r="A13" s="57">
        <v>45847</v>
      </c>
      <c r="B13" s="58">
        <v>0.29166666666666669</v>
      </c>
      <c r="C13" s="58">
        <v>0.70833333333333337</v>
      </c>
      <c r="D13" s="59">
        <v>10</v>
      </c>
      <c r="E13" s="58">
        <v>0.33333333333333331</v>
      </c>
      <c r="F13" s="58">
        <v>0.70833333333333337</v>
      </c>
      <c r="G13" s="59" t="s">
        <v>58</v>
      </c>
      <c r="H13" s="58">
        <v>0.75</v>
      </c>
      <c r="I13" s="58">
        <v>0</v>
      </c>
      <c r="J13" s="59">
        <v>6</v>
      </c>
      <c r="K13" s="73">
        <v>0.375</v>
      </c>
      <c r="L13" s="73">
        <v>0.75</v>
      </c>
      <c r="M13" s="59" t="s">
        <v>55</v>
      </c>
      <c r="N13" s="60">
        <v>0.33333333333333331</v>
      </c>
      <c r="O13" s="60">
        <v>0.66666666666666663</v>
      </c>
      <c r="P13" s="59" t="s">
        <v>51</v>
      </c>
      <c r="Q13" s="58">
        <v>0.33333333333333331</v>
      </c>
      <c r="R13" s="58">
        <v>0.73333333333333328</v>
      </c>
      <c r="S13" s="61"/>
      <c r="T13" s="58">
        <v>0.33333333333333331</v>
      </c>
      <c r="U13" s="58">
        <v>0.75</v>
      </c>
      <c r="V13" s="59" t="s">
        <v>57</v>
      </c>
      <c r="W13" s="58">
        <v>0.375</v>
      </c>
      <c r="X13" s="58">
        <v>0.75</v>
      </c>
      <c r="Y13" s="59" t="s">
        <v>55</v>
      </c>
      <c r="Z13" s="60">
        <v>0.33333333333333331</v>
      </c>
      <c r="AA13" s="60">
        <v>0.66666666666666663</v>
      </c>
      <c r="AB13" s="59" t="s">
        <v>51</v>
      </c>
      <c r="AC13" s="58">
        <v>0.33333333333333331</v>
      </c>
      <c r="AD13" s="58">
        <v>0.70833333333333337</v>
      </c>
      <c r="AE13" s="59" t="s">
        <v>56</v>
      </c>
    </row>
    <row r="14" spans="1:31" x14ac:dyDescent="0.25">
      <c r="A14" s="57">
        <v>45848</v>
      </c>
      <c r="B14" s="58">
        <v>0.29166666666666669</v>
      </c>
      <c r="C14" s="58">
        <v>0.66666666666666663</v>
      </c>
      <c r="D14" s="59">
        <v>9</v>
      </c>
      <c r="E14" s="58">
        <v>0.33333333333333331</v>
      </c>
      <c r="F14" s="58">
        <v>0.75</v>
      </c>
      <c r="G14" s="59" t="s">
        <v>58</v>
      </c>
      <c r="H14" s="58">
        <v>0.75</v>
      </c>
      <c r="I14" s="58">
        <v>0</v>
      </c>
      <c r="J14" s="59">
        <v>6</v>
      </c>
      <c r="K14" s="60">
        <v>0.33333333333333331</v>
      </c>
      <c r="L14" s="60">
        <v>0.75</v>
      </c>
      <c r="M14" s="59" t="s">
        <v>55</v>
      </c>
      <c r="N14" s="60">
        <v>0.375</v>
      </c>
      <c r="O14" s="60">
        <v>0.66666666666666663</v>
      </c>
      <c r="P14" s="59" t="s">
        <v>51</v>
      </c>
      <c r="Q14" s="73">
        <v>0.33333333333333331</v>
      </c>
      <c r="R14" s="73">
        <v>0.73333333333333328</v>
      </c>
      <c r="S14" s="74"/>
      <c r="T14" s="58">
        <v>0.33333333333333331</v>
      </c>
      <c r="U14" s="58">
        <v>0.70833333333333337</v>
      </c>
      <c r="V14" s="59" t="s">
        <v>57</v>
      </c>
      <c r="W14" s="60">
        <v>0.33333333333333331</v>
      </c>
      <c r="X14" s="60">
        <v>0.75</v>
      </c>
      <c r="Y14" s="59" t="s">
        <v>55</v>
      </c>
      <c r="Z14" s="60">
        <v>0.375</v>
      </c>
      <c r="AA14" s="60">
        <v>0.66666666666666663</v>
      </c>
      <c r="AB14" s="59" t="s">
        <v>51</v>
      </c>
      <c r="AC14" s="58">
        <v>0.33333333333333331</v>
      </c>
      <c r="AD14" s="58">
        <v>0.70833333333333337</v>
      </c>
      <c r="AE14" s="59" t="s">
        <v>56</v>
      </c>
    </row>
    <row r="15" spans="1:31" x14ac:dyDescent="0.25">
      <c r="A15" s="57">
        <v>45849</v>
      </c>
      <c r="B15" s="58">
        <v>0.29166666666666669</v>
      </c>
      <c r="C15" s="58">
        <v>0.66666666666666663</v>
      </c>
      <c r="D15" s="59">
        <v>9</v>
      </c>
      <c r="E15" s="58">
        <v>0.33333333333333331</v>
      </c>
      <c r="F15" s="58">
        <v>0.70833333333333337</v>
      </c>
      <c r="G15" s="59" t="s">
        <v>58</v>
      </c>
      <c r="H15" s="58">
        <v>0.75</v>
      </c>
      <c r="I15" s="58">
        <v>0</v>
      </c>
      <c r="J15" s="59">
        <v>6</v>
      </c>
      <c r="K15" s="60">
        <v>0.33333333333333331</v>
      </c>
      <c r="L15" s="60">
        <v>0.75</v>
      </c>
      <c r="M15" s="59" t="s">
        <v>55</v>
      </c>
      <c r="N15" s="60">
        <v>0.375</v>
      </c>
      <c r="O15" s="60">
        <v>0.66666666666666663</v>
      </c>
      <c r="P15" s="59" t="s">
        <v>51</v>
      </c>
      <c r="Q15" s="58">
        <v>0.29166666666666669</v>
      </c>
      <c r="R15" s="58">
        <v>0.69166666666666665</v>
      </c>
      <c r="S15" s="61"/>
      <c r="T15" s="58">
        <v>0.33333333333333331</v>
      </c>
      <c r="U15" s="58">
        <v>0.75</v>
      </c>
      <c r="V15" s="59" t="s">
        <v>57</v>
      </c>
      <c r="W15" s="60">
        <v>0.33333333333333331</v>
      </c>
      <c r="X15" s="60">
        <v>0.75</v>
      </c>
      <c r="Y15" s="59" t="s">
        <v>55</v>
      </c>
      <c r="Z15" s="60">
        <v>0.375</v>
      </c>
      <c r="AA15" s="60">
        <v>0.66666666666666663</v>
      </c>
      <c r="AB15" s="59" t="s">
        <v>51</v>
      </c>
      <c r="AC15" s="58">
        <v>0.33333333333333331</v>
      </c>
      <c r="AD15" s="58">
        <v>0.70833333333333337</v>
      </c>
      <c r="AE15" s="59" t="s">
        <v>56</v>
      </c>
    </row>
    <row r="16" spans="1:31" x14ac:dyDescent="0.25">
      <c r="A16" s="57">
        <v>45850</v>
      </c>
      <c r="B16" s="57"/>
      <c r="C16" s="57"/>
      <c r="D16" s="57"/>
      <c r="E16" s="64"/>
      <c r="F16" s="64"/>
      <c r="G16" s="59"/>
      <c r="H16" s="60">
        <v>0.75</v>
      </c>
      <c r="I16" s="60">
        <v>0</v>
      </c>
      <c r="J16" s="59">
        <v>6</v>
      </c>
      <c r="K16" s="64"/>
      <c r="L16" s="64"/>
      <c r="M16" s="59"/>
      <c r="N16" s="65">
        <v>0.33333333333333331</v>
      </c>
      <c r="O16" s="65">
        <v>0.75</v>
      </c>
      <c r="P16" s="66">
        <v>10</v>
      </c>
      <c r="Q16" s="60"/>
      <c r="R16" s="60"/>
      <c r="S16" s="68"/>
      <c r="T16" s="64"/>
      <c r="U16" s="64"/>
      <c r="V16" s="67"/>
      <c r="W16" s="64"/>
      <c r="X16" s="64"/>
      <c r="Y16" s="59"/>
      <c r="Z16" s="64"/>
      <c r="AA16" s="64"/>
      <c r="AB16" s="67"/>
      <c r="AC16" s="65">
        <v>0.375</v>
      </c>
      <c r="AD16" s="65">
        <v>0.5</v>
      </c>
      <c r="AE16" s="66">
        <v>3</v>
      </c>
    </row>
    <row r="17" spans="1:31" x14ac:dyDescent="0.25">
      <c r="A17" s="57">
        <v>45851</v>
      </c>
      <c r="B17" s="51"/>
      <c r="C17" s="51"/>
      <c r="D17" s="55"/>
      <c r="E17" s="64"/>
      <c r="F17" s="64"/>
      <c r="G17" s="59"/>
      <c r="H17" s="60"/>
      <c r="I17" s="60"/>
      <c r="J17" s="60"/>
      <c r="K17" s="64"/>
      <c r="L17" s="64"/>
      <c r="M17" s="59"/>
      <c r="N17" s="60"/>
      <c r="O17" s="60"/>
      <c r="P17" s="59"/>
      <c r="Q17" s="60"/>
      <c r="R17" s="60"/>
      <c r="S17" s="68"/>
      <c r="T17" s="64"/>
      <c r="U17" s="64"/>
      <c r="V17" s="59"/>
      <c r="W17" s="64"/>
      <c r="X17" s="64"/>
      <c r="Y17" s="59"/>
      <c r="Z17" s="65">
        <v>0.33333333333333331</v>
      </c>
      <c r="AA17" s="65">
        <v>0.75</v>
      </c>
      <c r="AB17" s="66">
        <v>10</v>
      </c>
      <c r="AC17" s="64"/>
      <c r="AD17" s="64"/>
      <c r="AE17" s="67"/>
    </row>
    <row r="18" spans="1:31" x14ac:dyDescent="0.25">
      <c r="B18" s="51"/>
      <c r="C18" s="51"/>
      <c r="D18" s="69">
        <f>SUM(D11:D17)</f>
        <v>48</v>
      </c>
      <c r="E18" s="51"/>
      <c r="F18" s="51"/>
      <c r="G18" s="69">
        <f>SUM(G11:G17)</f>
        <v>0</v>
      </c>
      <c r="H18" s="70"/>
      <c r="I18" s="70"/>
      <c r="J18" s="70"/>
      <c r="K18" s="70"/>
      <c r="L18" s="70"/>
      <c r="M18" s="69">
        <f>SUM(M11:M17)</f>
        <v>0</v>
      </c>
      <c r="N18" s="70"/>
      <c r="O18" s="70"/>
      <c r="P18" s="69">
        <f>SUM(P11:P17)</f>
        <v>10</v>
      </c>
      <c r="Q18" s="70"/>
      <c r="R18" s="70"/>
      <c r="S18" s="71">
        <f>SUM(S11:S17)</f>
        <v>0</v>
      </c>
      <c r="T18" s="70"/>
      <c r="U18" s="70"/>
      <c r="V18" s="69">
        <f>SUM(V11:V17)</f>
        <v>0</v>
      </c>
      <c r="W18" s="70"/>
      <c r="X18" s="70"/>
      <c r="Y18" s="69">
        <f>SUM(Y11:Y17)</f>
        <v>0</v>
      </c>
      <c r="Z18" s="70"/>
      <c r="AA18" s="70"/>
      <c r="AB18" s="69">
        <f>SUM(AB11:AB17)</f>
        <v>10</v>
      </c>
      <c r="AC18" s="70"/>
      <c r="AD18" s="70"/>
      <c r="AE18" s="72">
        <f>SUM(AE11:AE17)</f>
        <v>3</v>
      </c>
    </row>
  </sheetData>
  <mergeCells count="10">
    <mergeCell ref="T1:U1"/>
    <mergeCell ref="W1:X1"/>
    <mergeCell ref="Z1:AA1"/>
    <mergeCell ref="AC1:AD1"/>
    <mergeCell ref="B1:C1"/>
    <mergeCell ref="E1:F1"/>
    <mergeCell ref="H1:I1"/>
    <mergeCell ref="K1:L1"/>
    <mergeCell ref="N1:O1"/>
    <mergeCell ref="Q1:R1"/>
  </mergeCells>
  <conditionalFormatting sqref="B2:J6 J7">
    <cfRule type="expression" dxfId="1019" priority="357">
      <formula>AND(B$13="Entrada",$C2&lt;&gt;"")</formula>
    </cfRule>
    <cfRule type="expression" dxfId="1018" priority="356">
      <formula>AND(B$13="Salida",$C2&lt;&gt;"")</formula>
    </cfRule>
    <cfRule type="expression" dxfId="1017" priority="355">
      <formula>AND(OR(B$13="Salida",B$13="Entrada"),$C2="")</formula>
    </cfRule>
  </conditionalFormatting>
  <conditionalFormatting sqref="B11:J15 J16">
    <cfRule type="expression" dxfId="1016" priority="28">
      <formula>AND(B$13="Entrada",$C11&lt;&gt;"")</formula>
    </cfRule>
    <cfRule type="expression" dxfId="1015" priority="27">
      <formula>AND(B$13="Salida",$C11&lt;&gt;"")</formula>
    </cfRule>
    <cfRule type="expression" dxfId="1014" priority="26">
      <formula>AND(OR(B$13="Salida",B$13="Entrada"),$C11="")</formula>
    </cfRule>
  </conditionalFormatting>
  <conditionalFormatting sqref="D9">
    <cfRule type="expression" dxfId="1013" priority="468">
      <formula>AND(D$13="Salida",$C7&lt;&gt;"")</formula>
    </cfRule>
    <cfRule type="expression" dxfId="1012" priority="469">
      <formula>AND(D$13="Entrada",$C7&lt;&gt;"")</formula>
    </cfRule>
    <cfRule type="expression" dxfId="1011" priority="467">
      <formula>AND(OR(D$13="Salida",D$13="Entrada"),$C7="")</formula>
    </cfRule>
  </conditionalFormatting>
  <conditionalFormatting sqref="D18">
    <cfRule type="expression" dxfId="1010" priority="164">
      <formula>AND(OR(D$13="Salida",D$13="Entrada"),$C16="")</formula>
    </cfRule>
    <cfRule type="expression" dxfId="1009" priority="165">
      <formula>AND(D$13="Salida",$C16&lt;&gt;"")</formula>
    </cfRule>
    <cfRule type="expression" dxfId="1008" priority="166">
      <formula>AND(D$13="Entrada",$C16&lt;&gt;"")</formula>
    </cfRule>
  </conditionalFormatting>
  <conditionalFormatting sqref="E7:F8">
    <cfRule type="expression" dxfId="1007" priority="407">
      <formula>AND(E$10="Entrada",$C7&lt;&gt;"")</formula>
    </cfRule>
    <cfRule type="expression" dxfId="1006" priority="406">
      <formula>AND(E$10="Salida",$C7&lt;&gt;"")</formula>
    </cfRule>
    <cfRule type="expression" dxfId="1005" priority="405">
      <formula>AND(OR(E$10="Salida",E$10="Entrada"),$C7="")</formula>
    </cfRule>
  </conditionalFormatting>
  <conditionalFormatting sqref="E16:F17">
    <cfRule type="expression" dxfId="1004" priority="114">
      <formula>AND(E$10="Salida",$C16&lt;&gt;"")</formula>
    </cfRule>
    <cfRule type="expression" dxfId="1003" priority="115">
      <formula>AND(E$10="Entrada",$C16&lt;&gt;"")</formula>
    </cfRule>
    <cfRule type="expression" dxfId="1002" priority="113">
      <formula>AND(OR(E$10="Salida",E$10="Entrada"),$C16="")</formula>
    </cfRule>
  </conditionalFormatting>
  <conditionalFormatting sqref="G7:G9">
    <cfRule type="expression" dxfId="1001" priority="410">
      <formula>AND(G$13="Entrada",$C5&lt;&gt;"")</formula>
    </cfRule>
    <cfRule type="expression" dxfId="1000" priority="409">
      <formula>AND(G$13="Salida",$C5&lt;&gt;"")</formula>
    </cfRule>
    <cfRule type="expression" dxfId="999" priority="408">
      <formula>AND(OR(G$13="Salida",G$13="Entrada"),$C5="")</formula>
    </cfRule>
  </conditionalFormatting>
  <conditionalFormatting sqref="H7:I7">
    <cfRule type="expression" dxfId="998" priority="358">
      <formula>AND(OR(H$10="Salida",H$10="Entrada"),$C7="")</formula>
    </cfRule>
    <cfRule type="expression" dxfId="997" priority="360">
      <formula>AND(H$10="Entrada",$C7&lt;&gt;"")</formula>
    </cfRule>
    <cfRule type="expression" dxfId="996" priority="359">
      <formula>AND(H$10="Salida",$C7&lt;&gt;"")</formula>
    </cfRule>
  </conditionalFormatting>
  <conditionalFormatting sqref="H16:I16">
    <cfRule type="expression" dxfId="995" priority="29">
      <formula>AND(OR(H$10="Salida",H$10="Entrada"),$C16="")</formula>
    </cfRule>
    <cfRule type="expression" dxfId="994" priority="30">
      <formula>AND(H$10="Salida",$C16&lt;&gt;"")</formula>
    </cfRule>
    <cfRule type="expression" dxfId="993" priority="31">
      <formula>AND(H$10="Entrada",$C16&lt;&gt;"")</formula>
    </cfRule>
  </conditionalFormatting>
  <conditionalFormatting sqref="H9:J9">
    <cfRule type="expression" dxfId="992" priority="472">
      <formula>AND(H$13="Entrada",$C9&lt;&gt;"")</formula>
    </cfRule>
    <cfRule type="expression" dxfId="991" priority="471">
      <formula>AND(H$13="Salida",$C9&lt;&gt;"")</formula>
    </cfRule>
    <cfRule type="expression" dxfId="990" priority="470">
      <formula>AND(OR(H$13="Salida",H$13="Entrada"),$C9="")</formula>
    </cfRule>
  </conditionalFormatting>
  <conditionalFormatting sqref="H8:L8">
    <cfRule type="expression" dxfId="989" priority="411">
      <formula>AND(OR(H$10="Salida",H$10="Entrada"),$C8="")</formula>
    </cfRule>
    <cfRule type="expression" dxfId="988" priority="413">
      <formula>AND(H$10="Entrada",$C8&lt;&gt;"")</formula>
    </cfRule>
    <cfRule type="expression" dxfId="987" priority="412">
      <formula>AND(H$10="Salida",$C8&lt;&gt;"")</formula>
    </cfRule>
  </conditionalFormatting>
  <conditionalFormatting sqref="H17:L17">
    <cfRule type="expression" dxfId="986" priority="126">
      <formula>AND(H$10="Entrada",$C17&lt;&gt;"")</formula>
    </cfRule>
    <cfRule type="expression" dxfId="985" priority="124">
      <formula>AND(OR(H$10="Salida",H$10="Entrada"),$C17="")</formula>
    </cfRule>
    <cfRule type="expression" dxfId="984" priority="125">
      <formula>AND(H$10="Salida",$C17&lt;&gt;"")</formula>
    </cfRule>
  </conditionalFormatting>
  <conditionalFormatting sqref="H18:AD18">
    <cfRule type="expression" dxfId="983" priority="169">
      <formula>AND(H$13="Entrada",$C18&lt;&gt;"")</formula>
    </cfRule>
    <cfRule type="expression" dxfId="982" priority="168">
      <formula>AND(H$13="Salida",$C18&lt;&gt;"")</formula>
    </cfRule>
    <cfRule type="expression" dxfId="981" priority="167">
      <formula>AND(OR(H$13="Salida",H$13="Entrada"),$C18="")</formula>
    </cfRule>
  </conditionalFormatting>
  <conditionalFormatting sqref="K2:L7">
    <cfRule type="expression" dxfId="980" priority="376">
      <formula>AND(OR(K$10="Salida",K$10="Entrada"),$C2="")</formula>
    </cfRule>
    <cfRule type="expression" dxfId="979" priority="377">
      <formula>AND(K$10="Salida",$C2&lt;&gt;"")</formula>
    </cfRule>
    <cfRule type="expression" dxfId="978" priority="378">
      <formula>AND(K$10="Entrada",$C2&lt;&gt;"")</formula>
    </cfRule>
  </conditionalFormatting>
  <conditionalFormatting sqref="K11:L11">
    <cfRule type="expression" dxfId="977" priority="78">
      <formula>AND(OR(K$10="Salida",K$10="Entrada"),$C11="")</formula>
    </cfRule>
    <cfRule type="expression" dxfId="976" priority="79">
      <formula>AND(K$10="Salida",$C11&lt;&gt;"")</formula>
    </cfRule>
    <cfRule type="expression" dxfId="975" priority="80">
      <formula>AND(K$10="Entrada",$C11&lt;&gt;"")</formula>
    </cfRule>
  </conditionalFormatting>
  <conditionalFormatting sqref="K12:L13">
    <cfRule type="expression" dxfId="974" priority="75">
      <formula>AND(OR(K$13="Salida",K$13="Entrada"),$C12="")</formula>
    </cfRule>
    <cfRule type="expression" dxfId="973" priority="77">
      <formula>AND(K$13="Entrada",$C12&lt;&gt;"")</formula>
    </cfRule>
    <cfRule type="expression" dxfId="972" priority="76">
      <formula>AND(K$13="Salida",$C12&lt;&gt;"")</formula>
    </cfRule>
  </conditionalFormatting>
  <conditionalFormatting sqref="K14:L16">
    <cfRule type="expression" dxfId="971" priority="96">
      <formula>AND(OR(K$10="Salida",K$10="Entrada"),$C14="")</formula>
    </cfRule>
    <cfRule type="expression" dxfId="970" priority="97">
      <formula>AND(K$10="Salida",$C14&lt;&gt;"")</formula>
    </cfRule>
    <cfRule type="expression" dxfId="969" priority="98">
      <formula>AND(K$10="Entrada",$C14&lt;&gt;"")</formula>
    </cfRule>
  </conditionalFormatting>
  <conditionalFormatting sqref="M2:M6">
    <cfRule type="expression" dxfId="968" priority="6120">
      <formula>AND(#REF!="Entrada",$C1048575&lt;&gt;"")</formula>
    </cfRule>
    <cfRule type="expression" dxfId="967" priority="6119">
      <formula>AND(#REF!="Salida",$C1048575&lt;&gt;"")</formula>
    </cfRule>
    <cfRule type="expression" dxfId="966" priority="6118">
      <formula>AND(OR(#REF!="Salida",#REF!="Entrada"),$C1048575="")</formula>
    </cfRule>
  </conditionalFormatting>
  <conditionalFormatting sqref="M7:M8">
    <cfRule type="expression" dxfId="965" priority="6123">
      <formula>AND(OR(#REF!="Salida",#REF!="Entrada"),$C5="")</formula>
    </cfRule>
    <cfRule type="expression" dxfId="964" priority="6122">
      <formula>AND(#REF!="Entrada",$C5&lt;&gt;"")</formula>
    </cfRule>
    <cfRule type="expression" dxfId="963" priority="6121">
      <formula>AND(#REF!="Salida",$C5&lt;&gt;"")</formula>
    </cfRule>
  </conditionalFormatting>
  <conditionalFormatting sqref="M11:M15">
    <cfRule type="expression" dxfId="962" priority="6">
      <formula>AND(OR(#REF!="Salida",#REF!="Entrada"),$C11="")</formula>
    </cfRule>
    <cfRule type="expression" dxfId="961" priority="5">
      <formula>AND(#REF!="Entrada",$C11&lt;&gt;"")</formula>
    </cfRule>
    <cfRule type="expression" dxfId="960" priority="4">
      <formula>AND(#REF!="Salida",$C11&lt;&gt;"")</formula>
    </cfRule>
  </conditionalFormatting>
  <conditionalFormatting sqref="M16:M17 Y16:Y17 G16:G18">
    <cfRule type="expression" dxfId="959" priority="175">
      <formula>AND(OR(G$13="Salida",G$13="Entrada"),$C14="")</formula>
    </cfRule>
    <cfRule type="expression" dxfId="958" priority="176">
      <formula>AND(G$13="Salida",$C14&lt;&gt;"")</formula>
    </cfRule>
    <cfRule type="expression" dxfId="957" priority="177">
      <formula>AND(G$13="Entrada",$C14&lt;&gt;"")</formula>
    </cfRule>
  </conditionalFormatting>
  <conditionalFormatting sqref="N7:O7">
    <cfRule type="expression" dxfId="956" priority="438">
      <formula>AND(N$10="Salida",$C8&lt;&gt;"")</formula>
    </cfRule>
    <cfRule type="expression" dxfId="955" priority="437">
      <formula>AND(OR(N$10="Salida",N$10="Entrada"),$C8="")</formula>
    </cfRule>
    <cfRule type="expression" dxfId="954" priority="439">
      <formula>AND(N$10="Entrada",$C8&lt;&gt;"")</formula>
    </cfRule>
  </conditionalFormatting>
  <conditionalFormatting sqref="N8:O8 Z8:AA8">
    <cfRule type="expression" dxfId="953" priority="476">
      <formula>AND(OR(N$10="Salida",N$10="Entrada"),$C8="")</formula>
    </cfRule>
    <cfRule type="expression" dxfId="952" priority="477">
      <formula>AND(N$10="Salida",$C8&lt;&gt;"")</formula>
    </cfRule>
    <cfRule type="expression" dxfId="951" priority="478">
      <formula>AND(N$10="Entrada",$C8&lt;&gt;"")</formula>
    </cfRule>
  </conditionalFormatting>
  <conditionalFormatting sqref="N11:O17">
    <cfRule type="expression" dxfId="950" priority="90">
      <formula>AND(OR(N$10="Salida",N$10="Entrada"),$C11="")</formula>
    </cfRule>
    <cfRule type="expression" dxfId="949" priority="91">
      <formula>AND(N$10="Salida",$C11&lt;&gt;"")</formula>
    </cfRule>
    <cfRule type="expression" dxfId="948" priority="92">
      <formula>AND(N$10="Entrada",$C11&lt;&gt;"")</formula>
    </cfRule>
  </conditionalFormatting>
  <conditionalFormatting sqref="N2:S6 AE7:AE8 P8 AB8 K9:AD9">
    <cfRule type="expression" dxfId="947" priority="6117">
      <formula>AND(#REF!="Entrada",$C2&lt;&gt;"")</formula>
    </cfRule>
    <cfRule type="expression" dxfId="946" priority="6116">
      <formula>AND(#REF!="Salida",$C2&lt;&gt;"")</formula>
    </cfRule>
  </conditionalFormatting>
  <conditionalFormatting sqref="P7 V7 AB7">
    <cfRule type="expression" dxfId="945" priority="6136">
      <formula>AND(#REF!="Salida",$C8&lt;&gt;"")</formula>
    </cfRule>
    <cfRule type="expression" dxfId="944" priority="6137">
      <formula>AND(#REF!="Entrada",$C8&lt;&gt;"")</formula>
    </cfRule>
    <cfRule type="expression" dxfId="943" priority="6135">
      <formula>AND(OR(#REF!="Salida",#REF!="Entrada"),$C8="")</formula>
    </cfRule>
  </conditionalFormatting>
  <conditionalFormatting sqref="P11:P15">
    <cfRule type="expression" dxfId="942" priority="16">
      <formula>AND(OR(#REF!="Salida",#REF!="Entrada"),$C8="")</formula>
    </cfRule>
    <cfRule type="expression" dxfId="941" priority="17">
      <formula>AND(#REF!="Salida",$C8&lt;&gt;"")</formula>
    </cfRule>
    <cfRule type="expression" dxfId="940" priority="18">
      <formula>AND(#REF!="Entrada",$C8&lt;&gt;"")</formula>
    </cfRule>
  </conditionalFormatting>
  <conditionalFormatting sqref="P16">
    <cfRule type="expression" dxfId="939" priority="109">
      <formula>AND(P$13="Entrada",$C14&lt;&gt;"")</formula>
    </cfRule>
    <cfRule type="expression" dxfId="938" priority="107">
      <formula>AND(OR(P$13="Salida",P$13="Entrada"),$C14="")</formula>
    </cfRule>
    <cfRule type="expression" dxfId="937" priority="108">
      <formula>AND(P$13="Salida",$C14&lt;&gt;"")</formula>
    </cfRule>
  </conditionalFormatting>
  <conditionalFormatting sqref="P17">
    <cfRule type="expression" dxfId="936" priority="170">
      <formula>AND(OR(P$13="Salida",P$13="Entrada"),$C17="")</formula>
    </cfRule>
    <cfRule type="expression" dxfId="935" priority="171">
      <formula>AND(P$13="Salida",$C17&lt;&gt;"")</formula>
    </cfRule>
    <cfRule type="expression" dxfId="934" priority="172">
      <formula>AND(P$13="Entrada",$C17&lt;&gt;"")</formula>
    </cfRule>
  </conditionalFormatting>
  <conditionalFormatting sqref="Q2:S6 AE7:AE8 P8 AB8 K9:AD9">
    <cfRule type="expression" dxfId="933" priority="6115">
      <formula>AND(OR(#REF!="Salida",#REF!="Entrada"),$C2="")</formula>
    </cfRule>
  </conditionalFormatting>
  <conditionalFormatting sqref="Q7:S8">
    <cfRule type="expression" dxfId="932" priority="466">
      <formula>AND(Q$10="Entrada",$C7&lt;&gt;"")</formula>
    </cfRule>
    <cfRule type="expression" dxfId="931" priority="465">
      <formula>AND(Q$10="Salida",$C7&lt;&gt;"")</formula>
    </cfRule>
    <cfRule type="expression" dxfId="930" priority="464">
      <formula>AND(OR(Q$10="Salida",Q$10="Entrada"),$C7="")</formula>
    </cfRule>
  </conditionalFormatting>
  <conditionalFormatting sqref="Q11:S15">
    <cfRule type="expression" dxfId="929" priority="21">
      <formula>AND(Q$11="Entrada",$C11&lt;&gt;"")</formula>
    </cfRule>
    <cfRule type="expression" dxfId="928" priority="20">
      <formula>AND(Q$11="Salida",$C11&lt;&gt;"")</formula>
    </cfRule>
    <cfRule type="expression" dxfId="927" priority="19">
      <formula>AND(OR(Q$11="Salida",Q$11="Entrada"),$C11="")</formula>
    </cfRule>
  </conditionalFormatting>
  <conditionalFormatting sqref="Q16:S17">
    <cfRule type="expression" dxfId="926" priority="161">
      <formula>AND(OR(Q$10="Salida",Q$10="Entrada"),$C16="")</formula>
    </cfRule>
    <cfRule type="expression" dxfId="925" priority="162">
      <formula>AND(Q$10="Salida",$C16&lt;&gt;"")</formula>
    </cfRule>
    <cfRule type="expression" dxfId="924" priority="163">
      <formula>AND(Q$10="Entrada",$C16&lt;&gt;"")</formula>
    </cfRule>
  </conditionalFormatting>
  <conditionalFormatting sqref="T7:U7">
    <cfRule type="expression" dxfId="923" priority="451">
      <formula>AND(T$10="Entrada",$C8&lt;&gt;"")</formula>
    </cfRule>
    <cfRule type="expression" dxfId="922" priority="449">
      <formula>AND(OR(T$10="Salida",T$10="Entrada"),$C8="")</formula>
    </cfRule>
    <cfRule type="expression" dxfId="921" priority="450">
      <formula>AND(T$10="Salida",$C8&lt;&gt;"")</formula>
    </cfRule>
  </conditionalFormatting>
  <conditionalFormatting sqref="T8:U8">
    <cfRule type="expression" dxfId="920" priority="384">
      <formula>AND(OR(T$10="Salida",T$10="Entrada"),$C8="")</formula>
    </cfRule>
    <cfRule type="expression" dxfId="919" priority="385">
      <formula>AND(T$10="Salida",$C8&lt;&gt;"")</formula>
    </cfRule>
    <cfRule type="expression" dxfId="918" priority="386">
      <formula>AND(T$10="Entrada",$C8&lt;&gt;"")</formula>
    </cfRule>
  </conditionalFormatting>
  <conditionalFormatting sqref="T16:U16">
    <cfRule type="expression" dxfId="917" priority="149">
      <formula>AND(OR(T$10="Salida",T$10="Entrada"),$C17="")</formula>
    </cfRule>
    <cfRule type="expression" dxfId="916" priority="150">
      <formula>AND(T$10="Salida",$C17&lt;&gt;"")</formula>
    </cfRule>
    <cfRule type="expression" dxfId="915" priority="151">
      <formula>AND(T$10="Entrada",$C17&lt;&gt;"")</formula>
    </cfRule>
  </conditionalFormatting>
  <conditionalFormatting sqref="T17:U17">
    <cfRule type="expression" dxfId="914" priority="118">
      <formula>AND(OR(T$10="Salida",T$10="Entrada"),$C17="")</formula>
    </cfRule>
    <cfRule type="expression" dxfId="913" priority="120">
      <formula>AND(T$10="Entrada",$C17&lt;&gt;"")</formula>
    </cfRule>
    <cfRule type="expression" dxfId="912" priority="119">
      <formula>AND(T$10="Salida",$C17&lt;&gt;"")</formula>
    </cfRule>
  </conditionalFormatting>
  <conditionalFormatting sqref="T11:V15">
    <cfRule type="expression" dxfId="911" priority="3">
      <formula>AND(T$13="Entrada",$C11&lt;&gt;"")</formula>
    </cfRule>
    <cfRule type="expression" dxfId="910" priority="1">
      <formula>AND(OR(T$13="Salida",T$13="Entrada"),$C11="")</formula>
    </cfRule>
    <cfRule type="expression" dxfId="909" priority="2">
      <formula>AND(T$13="Salida",$C11&lt;&gt;"")</formula>
    </cfRule>
  </conditionalFormatting>
  <conditionalFormatting sqref="T2:Y2 V2:V6 AB2:AE6 T3:U6 W3:AA6">
    <cfRule type="expression" dxfId="908" priority="6126">
      <formula>AND(#REF!="Salida",$C2&lt;&gt;"")</formula>
    </cfRule>
    <cfRule type="expression" dxfId="907" priority="6127">
      <formula>AND(#REF!="Entrada",$C2&lt;&gt;"")</formula>
    </cfRule>
  </conditionalFormatting>
  <conditionalFormatting sqref="T2:Y2 V2:V6 AB2:AE6 T3:AA6 N2:P6">
    <cfRule type="expression" dxfId="906" priority="6132">
      <formula>AND(OR(#REF!="Salida",#REF!="Entrada"),$C2="")</formula>
    </cfRule>
  </conditionalFormatting>
  <conditionalFormatting sqref="V16">
    <cfRule type="expression" dxfId="905" priority="154">
      <formula>AND(V$13="Entrada",$C17&lt;&gt;"")</formula>
    </cfRule>
    <cfRule type="expression" dxfId="904" priority="153">
      <formula>AND(V$13="Salida",$C17&lt;&gt;"")</formula>
    </cfRule>
    <cfRule type="expression" dxfId="903" priority="152">
      <formula>AND(OR(V$13="Salida",V$13="Entrada"),$C17="")</formula>
    </cfRule>
  </conditionalFormatting>
  <conditionalFormatting sqref="V17">
    <cfRule type="expression" dxfId="902" priority="121">
      <formula>AND(OR(V$13="Salida",V$13="Entrada"),$C15="")</formula>
    </cfRule>
    <cfRule type="expression" dxfId="901" priority="123">
      <formula>AND(V$13="Entrada",$C15&lt;&gt;"")</formula>
    </cfRule>
    <cfRule type="expression" dxfId="900" priority="122">
      <formula>AND(V$13="Salida",$C15&lt;&gt;"")</formula>
    </cfRule>
  </conditionalFormatting>
  <conditionalFormatting sqref="W2:X2">
    <cfRule type="expression" dxfId="899" priority="6174">
      <formula>AND(#REF!="Entrada",$C2&lt;&gt;"")</formula>
    </cfRule>
    <cfRule type="expression" dxfId="898" priority="6173">
      <formula>AND(#REF!="Salida",$C2&lt;&gt;"")</formula>
    </cfRule>
    <cfRule type="expression" dxfId="897" priority="6170">
      <formula>AND(#REF!="Salida",$C2&lt;&gt;"")</formula>
    </cfRule>
    <cfRule type="expression" dxfId="896" priority="6171">
      <formula>AND(#REF!="Entrada",$C2&lt;&gt;"")</formula>
    </cfRule>
    <cfRule type="expression" dxfId="895" priority="6172">
      <formula>AND(OR(#REF!="Salida",#REF!="Entrada"),$C2="")</formula>
    </cfRule>
  </conditionalFormatting>
  <conditionalFormatting sqref="W7:X8">
    <cfRule type="expression" dxfId="894" priority="444">
      <formula>AND(W$10="Salida",$C7&lt;&gt;"")</formula>
    </cfRule>
    <cfRule type="expression" dxfId="893" priority="445">
      <formula>AND(W$10="Entrada",$C7&lt;&gt;"")</formula>
    </cfRule>
    <cfRule type="expression" dxfId="892" priority="443">
      <formula>AND(OR(W$10="Salida",W$10="Entrada"),$C7="")</formula>
    </cfRule>
  </conditionalFormatting>
  <conditionalFormatting sqref="W11:X11">
    <cfRule type="expression" dxfId="891" priority="61">
      <formula>AND(W$10="Entrada",$C11&lt;&gt;"")</formula>
    </cfRule>
    <cfRule type="expression" dxfId="890" priority="59">
      <formula>AND(OR(W$10="Salida",W$10="Entrada"),$C11="")</formula>
    </cfRule>
    <cfRule type="expression" dxfId="889" priority="60">
      <formula>AND(W$10="Salida",$C11&lt;&gt;"")</formula>
    </cfRule>
  </conditionalFormatting>
  <conditionalFormatting sqref="W12:X13">
    <cfRule type="expression" dxfId="888" priority="57">
      <formula>AND(W$13="Salida",$C12&lt;&gt;"")</formula>
    </cfRule>
    <cfRule type="expression" dxfId="887" priority="58">
      <formula>AND(W$13="Entrada",$C12&lt;&gt;"")</formula>
    </cfRule>
    <cfRule type="expression" dxfId="886" priority="47">
      <formula>AND(OR(W$13="Salida",W$13="Entrada"),$C12="")</formula>
    </cfRule>
  </conditionalFormatting>
  <conditionalFormatting sqref="W14:X17">
    <cfRule type="expression" dxfId="885" priority="65">
      <formula>AND(OR(W$10="Salida",W$10="Entrada"),$C14="")</formula>
    </cfRule>
    <cfRule type="expression" dxfId="884" priority="66">
      <formula>AND(W$10="Salida",$C14&lt;&gt;"")</formula>
    </cfRule>
    <cfRule type="expression" dxfId="883" priority="67">
      <formula>AND(W$10="Entrada",$C14&lt;&gt;"")</formula>
    </cfRule>
  </conditionalFormatting>
  <conditionalFormatting sqref="Y7:Y8 V8">
    <cfRule type="expression" dxfId="882" priority="6167">
      <formula>AND(#REF!="Salida",$C5&lt;&gt;"")</formula>
    </cfRule>
    <cfRule type="expression" dxfId="881" priority="6168">
      <formula>AND(#REF!="Entrada",$C5&lt;&gt;"")</formula>
    </cfRule>
    <cfRule type="expression" dxfId="880" priority="6166">
      <formula>AND(OR(#REF!="Salida",#REF!="Entrada"),$C5="")</formula>
    </cfRule>
  </conditionalFormatting>
  <conditionalFormatting sqref="Y11:Y15">
    <cfRule type="expression" dxfId="879" priority="8">
      <formula>AND(#REF!="Entrada",$C11&lt;&gt;"")</formula>
    </cfRule>
    <cfRule type="expression" dxfId="878" priority="9">
      <formula>AND(OR(#REF!="Salida",#REF!="Entrada"),$C11="")</formula>
    </cfRule>
    <cfRule type="expression" dxfId="877" priority="7">
      <formula>AND(#REF!="Salida",$C11&lt;&gt;"")</formula>
    </cfRule>
  </conditionalFormatting>
  <conditionalFormatting sqref="Z2:AA2">
    <cfRule type="expression" dxfId="876" priority="423">
      <formula>AND(OR(Z$10="Salida",Z$10="Entrada"),$C2="")</formula>
    </cfRule>
    <cfRule type="expression" dxfId="875" priority="424">
      <formula>AND(Z$10="Salida",$C2&lt;&gt;"")</formula>
    </cfRule>
    <cfRule type="expression" dxfId="874" priority="425">
      <formula>AND(Z$10="Entrada",$C2&lt;&gt;"")</formula>
    </cfRule>
  </conditionalFormatting>
  <conditionalFormatting sqref="Z7:AA7">
    <cfRule type="expression" dxfId="873" priority="460">
      <formula>AND(Z$10="Entrada",$C8&lt;&gt;"")</formula>
    </cfRule>
    <cfRule type="expression" dxfId="872" priority="459">
      <formula>AND(Z$10="Salida",$C8&lt;&gt;"")</formula>
    </cfRule>
    <cfRule type="expression" dxfId="871" priority="458">
      <formula>AND(OR(Z$10="Salida",Z$10="Entrada"),$C8="")</formula>
    </cfRule>
  </conditionalFormatting>
  <conditionalFormatting sqref="Z11:AA15">
    <cfRule type="expression" dxfId="870" priority="86">
      <formula>AND(Z$10="Entrada",$C11&lt;&gt;"")</formula>
    </cfRule>
    <cfRule type="expression" dxfId="869" priority="85">
      <formula>AND(Z$10="Salida",$C11&lt;&gt;"")</formula>
    </cfRule>
    <cfRule type="expression" dxfId="868" priority="84">
      <formula>AND(OR(Z$10="Salida",Z$10="Entrada"),$C11="")</formula>
    </cfRule>
  </conditionalFormatting>
  <conditionalFormatting sqref="Z16:AA16">
    <cfRule type="expression" dxfId="867" priority="156">
      <formula>AND(Z$10="Salida",$C17&lt;&gt;"")</formula>
    </cfRule>
    <cfRule type="expression" dxfId="866" priority="157">
      <formula>AND(Z$10="Entrada",$C17&lt;&gt;"")</formula>
    </cfRule>
    <cfRule type="expression" dxfId="865" priority="155">
      <formula>AND(OR(Z$10="Salida",Z$10="Entrada"),$C17="")</formula>
    </cfRule>
  </conditionalFormatting>
  <conditionalFormatting sqref="Z17:AA17">
    <cfRule type="expression" dxfId="864" priority="99">
      <formula>AND(OR(Z$10="Salida",Z$10="Entrada"),$C17="")</formula>
    </cfRule>
    <cfRule type="expression" dxfId="863" priority="101">
      <formula>AND(Z$10="Entrada",$C17&lt;&gt;"")</formula>
    </cfRule>
    <cfRule type="expression" dxfId="862" priority="100">
      <formula>AND(Z$10="Salida",$C17&lt;&gt;"")</formula>
    </cfRule>
  </conditionalFormatting>
  <conditionalFormatting sqref="AB11:AB15">
    <cfRule type="expression" dxfId="861" priority="13">
      <formula>AND(OR(#REF!="Salida",#REF!="Entrada"),$C8="")</formula>
    </cfRule>
    <cfRule type="expression" dxfId="860" priority="15">
      <formula>AND(#REF!="Entrada",$C8&lt;&gt;"")</formula>
    </cfRule>
    <cfRule type="expression" dxfId="859" priority="14">
      <formula>AND(#REF!="Salida",$C8&lt;&gt;"")</formula>
    </cfRule>
  </conditionalFormatting>
  <conditionalFormatting sqref="AB16">
    <cfRule type="expression" dxfId="858" priority="160">
      <formula>AND(AB$13="Entrada",$C17&lt;&gt;"")</formula>
    </cfRule>
    <cfRule type="expression" dxfId="857" priority="158">
      <formula>AND(OR(AB$13="Salida",AB$13="Entrada"),$C17="")</formula>
    </cfRule>
    <cfRule type="expression" dxfId="856" priority="159">
      <formula>AND(AB$13="Salida",$C17&lt;&gt;"")</formula>
    </cfRule>
  </conditionalFormatting>
  <conditionalFormatting sqref="AB17">
    <cfRule type="expression" dxfId="855" priority="102">
      <formula>AND(OR(AB$13="Salida",AB$13="Entrada"),$C15="")</formula>
    </cfRule>
    <cfRule type="expression" dxfId="854" priority="103">
      <formula>AND(AB$13="Salida",$C15&lt;&gt;"")</formula>
    </cfRule>
    <cfRule type="expression" dxfId="853" priority="104">
      <formula>AND(AB$13="Entrada",$C15&lt;&gt;"")</formula>
    </cfRule>
  </conditionalFormatting>
  <conditionalFormatting sqref="AC7:AD8">
    <cfRule type="expression" dxfId="852" priority="436">
      <formula>AND(AC$10="Entrada",$C7&lt;&gt;"")</formula>
    </cfRule>
    <cfRule type="expression" dxfId="851" priority="435">
      <formula>AND(AC$10="Salida",$C7&lt;&gt;"")</formula>
    </cfRule>
    <cfRule type="expression" dxfId="850" priority="434">
      <formula>AND(OR(AC$10="Salida",AC$10="Entrada"),$C7="")</formula>
    </cfRule>
  </conditionalFormatting>
  <conditionalFormatting sqref="AC11:AD12">
    <cfRule type="expression" dxfId="849" priority="40">
      <formula>AND(AC$13="Entrada",$C11&lt;&gt;"")</formula>
    </cfRule>
    <cfRule type="expression" dxfId="848" priority="39">
      <formula>AND(AC$13="Salida",$C11&lt;&gt;"")</formula>
    </cfRule>
    <cfRule type="expression" dxfId="847" priority="38">
      <formula>AND(OR(AC$13="Salida",AC$13="Entrada"),$C11="")</formula>
    </cfRule>
  </conditionalFormatting>
  <conditionalFormatting sqref="AC12:AD13">
    <cfRule type="expression" dxfId="846" priority="146">
      <formula>AND(OR(AC$13="Salida",AC$13="Entrada"),$C12="")</formula>
    </cfRule>
    <cfRule type="expression" dxfId="845" priority="147">
      <formula>AND(AC$13="Salida",$C12&lt;&gt;"")</formula>
    </cfRule>
    <cfRule type="expression" dxfId="844" priority="148">
      <formula>AND(AC$13="Entrada",$C12&lt;&gt;"")</formula>
    </cfRule>
  </conditionalFormatting>
  <conditionalFormatting sqref="AC12:AD15">
    <cfRule type="expression" dxfId="843" priority="54">
      <formula>AND(OR(AC$13="Salida",AC$13="Entrada"),$C12="")</formula>
    </cfRule>
    <cfRule type="expression" dxfId="842" priority="56">
      <formula>AND(AC$13="Entrada",$C12&lt;&gt;"")</formula>
    </cfRule>
    <cfRule type="expression" dxfId="841" priority="55">
      <formula>AND(AC$13="Salida",$C12&lt;&gt;"")</formula>
    </cfRule>
  </conditionalFormatting>
  <conditionalFormatting sqref="AC16:AD17">
    <cfRule type="expression" dxfId="840" priority="33">
      <formula>AND(AC$10="Salida",$C16&lt;&gt;"")</formula>
    </cfRule>
    <cfRule type="expression" dxfId="839" priority="34">
      <formula>AND(AC$10="Entrada",$C16&lt;&gt;"")</formula>
    </cfRule>
    <cfRule type="expression" dxfId="838" priority="32">
      <formula>AND(OR(AC$10="Salida",AC$10="Entrada"),$C16="")</formula>
    </cfRule>
  </conditionalFormatting>
  <conditionalFormatting sqref="AE11:AE15">
    <cfRule type="expression" dxfId="837" priority="12">
      <formula>AND(OR(#REF!="Salida",#REF!="Entrada"),$C11="")</formula>
    </cfRule>
    <cfRule type="expression" dxfId="836" priority="11">
      <formula>AND(#REF!="Entrada",$C11&lt;&gt;"")</formula>
    </cfRule>
    <cfRule type="expression" dxfId="835" priority="10">
      <formula>AND(#REF!="Salida",$C11&lt;&gt;"")</formula>
    </cfRule>
  </conditionalFormatting>
  <conditionalFormatting sqref="AE16">
    <cfRule type="expression" dxfId="834" priority="37">
      <formula>AND(AE$13="Entrada",$C14&lt;&gt;"")</formula>
    </cfRule>
    <cfRule type="expression" dxfId="833" priority="36">
      <formula>AND(AE$13="Salida",$C14&lt;&gt;"")</formula>
    </cfRule>
    <cfRule type="expression" dxfId="832" priority="35">
      <formula>AND(OR(AE$13="Salida",AE$13="Entrada"),$C14="")</formula>
    </cfRule>
  </conditionalFormatting>
  <conditionalFormatting sqref="AE17">
    <cfRule type="expression" dxfId="831" priority="140">
      <formula>AND(AE$13="Salida",$C17&lt;&gt;"")</formula>
    </cfRule>
    <cfRule type="expression" dxfId="830" priority="139">
      <formula>AND(OR(AE$13="Salida",AE$13="Entrada"),$C17="")</formula>
    </cfRule>
    <cfRule type="expression" dxfId="829" priority="141">
      <formula>AND(AE$13="Entrada",$C17&lt;&gt;"")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881F-9009-4B6D-8B16-8BA3691FF074}">
  <dimension ref="A1:F45"/>
  <sheetViews>
    <sheetView showGridLines="0" topLeftCell="A31" zoomScaleNormal="100" workbookViewId="0">
      <selection activeCell="B52" sqref="B52"/>
    </sheetView>
  </sheetViews>
  <sheetFormatPr baseColWidth="10" defaultRowHeight="15" x14ac:dyDescent="0.25"/>
  <sheetData>
    <row r="1" spans="1:6" x14ac:dyDescent="0.25">
      <c r="B1" s="117" t="s">
        <v>64</v>
      </c>
      <c r="C1" s="117"/>
      <c r="D1" s="117"/>
    </row>
    <row r="2" spans="1:6" x14ac:dyDescent="0.25">
      <c r="A2" s="4" t="s">
        <v>0</v>
      </c>
      <c r="B2" s="75"/>
      <c r="C2" s="75"/>
      <c r="D2" s="75"/>
    </row>
    <row r="3" spans="1:6" x14ac:dyDescent="0.25">
      <c r="A3" s="8">
        <v>46020</v>
      </c>
      <c r="B3" s="9">
        <v>0.29166666666666669</v>
      </c>
      <c r="C3" s="9">
        <v>0.64583333333333337</v>
      </c>
      <c r="D3" s="10">
        <v>8.5</v>
      </c>
    </row>
    <row r="4" spans="1:6" x14ac:dyDescent="0.25">
      <c r="A4" s="8">
        <v>46021</v>
      </c>
      <c r="B4" s="9">
        <v>0.29166666666666669</v>
      </c>
      <c r="C4" s="9">
        <v>0.66666666666666663</v>
      </c>
      <c r="D4" s="10">
        <v>9</v>
      </c>
    </row>
    <row r="5" spans="1:6" x14ac:dyDescent="0.25">
      <c r="A5" s="8">
        <v>46022</v>
      </c>
      <c r="B5" s="9">
        <v>0.29166666666666669</v>
      </c>
      <c r="C5" s="9">
        <v>0.625</v>
      </c>
      <c r="D5" s="10">
        <v>8</v>
      </c>
    </row>
    <row r="6" spans="1:6" x14ac:dyDescent="0.25">
      <c r="A6" s="8">
        <v>46023</v>
      </c>
      <c r="B6" s="85">
        <v>0.33333333333333331</v>
      </c>
      <c r="C6" s="85">
        <v>0.66666666666666663</v>
      </c>
      <c r="D6" s="86">
        <v>8</v>
      </c>
    </row>
    <row r="7" spans="1:6" x14ac:dyDescent="0.25">
      <c r="A7" s="8">
        <v>46024</v>
      </c>
      <c r="B7" s="9">
        <v>0.29166666666666669</v>
      </c>
      <c r="C7" s="9">
        <v>0.625</v>
      </c>
      <c r="D7" s="10">
        <v>8</v>
      </c>
    </row>
    <row r="8" spans="1:6" x14ac:dyDescent="0.25">
      <c r="A8" s="8">
        <v>46025</v>
      </c>
      <c r="B8" s="9"/>
      <c r="C8" s="9"/>
      <c r="D8" s="10"/>
    </row>
    <row r="9" spans="1:6" x14ac:dyDescent="0.25">
      <c r="A9" s="8">
        <v>46026</v>
      </c>
      <c r="B9" s="31">
        <v>0.375</v>
      </c>
      <c r="C9" s="31">
        <v>0.58333333333333337</v>
      </c>
      <c r="D9" s="10">
        <v>5</v>
      </c>
    </row>
    <row r="10" spans="1:6" x14ac:dyDescent="0.25">
      <c r="A10" s="4"/>
      <c r="B10" s="15"/>
      <c r="C10" s="15"/>
      <c r="D10" s="15">
        <f>SUM(D3:D9)</f>
        <v>46.5</v>
      </c>
    </row>
    <row r="12" spans="1:6" x14ac:dyDescent="0.25">
      <c r="A12" s="8">
        <v>46027</v>
      </c>
      <c r="B12" s="9">
        <v>0.29166666666666669</v>
      </c>
      <c r="C12" s="9">
        <v>0.66666666666666663</v>
      </c>
      <c r="D12" s="10">
        <v>9</v>
      </c>
    </row>
    <row r="13" spans="1:6" x14ac:dyDescent="0.25">
      <c r="A13" s="8">
        <v>46028</v>
      </c>
      <c r="B13" s="9">
        <v>0.29166666666666669</v>
      </c>
      <c r="C13" s="9">
        <v>0.70833333333333337</v>
      </c>
      <c r="D13" s="10">
        <v>10</v>
      </c>
    </row>
    <row r="14" spans="1:6" x14ac:dyDescent="0.25">
      <c r="A14" s="8">
        <v>46029</v>
      </c>
      <c r="B14" s="9">
        <v>0.29166666666666669</v>
      </c>
      <c r="C14" s="9">
        <v>0.66666666666666663</v>
      </c>
      <c r="D14" s="10">
        <v>9</v>
      </c>
    </row>
    <row r="15" spans="1:6" x14ac:dyDescent="0.25">
      <c r="A15" s="8">
        <v>46030</v>
      </c>
      <c r="B15" s="9">
        <v>0.29166666666666669</v>
      </c>
      <c r="C15" s="9">
        <v>0.70833333333333337</v>
      </c>
      <c r="D15" s="10">
        <v>10</v>
      </c>
    </row>
    <row r="16" spans="1:6" x14ac:dyDescent="0.25">
      <c r="A16" s="8">
        <v>46031</v>
      </c>
      <c r="B16" s="9">
        <v>0.29166666666666669</v>
      </c>
      <c r="C16" s="9">
        <v>0.64583333333333337</v>
      </c>
      <c r="D16" s="10">
        <v>8.5</v>
      </c>
      <c r="E16" s="84"/>
      <c r="F16" s="1"/>
    </row>
    <row r="17" spans="1:6" x14ac:dyDescent="0.25">
      <c r="A17" s="8">
        <v>46032</v>
      </c>
      <c r="B17" s="9"/>
      <c r="C17" s="9"/>
      <c r="D17" s="10"/>
    </row>
    <row r="18" spans="1:6" x14ac:dyDescent="0.25">
      <c r="A18" s="8">
        <v>46033</v>
      </c>
      <c r="B18" s="9"/>
      <c r="C18" s="9"/>
      <c r="D18" s="10"/>
    </row>
    <row r="19" spans="1:6" x14ac:dyDescent="0.25">
      <c r="A19" s="4"/>
      <c r="B19" s="15"/>
      <c r="C19" s="15"/>
      <c r="D19" s="15">
        <f>SUM(D12:D18)</f>
        <v>46.5</v>
      </c>
    </row>
    <row r="21" spans="1:6" x14ac:dyDescent="0.25">
      <c r="A21" s="8">
        <v>46034</v>
      </c>
      <c r="B21" s="9">
        <v>0.29166666666666669</v>
      </c>
      <c r="C21" s="9">
        <v>0.625</v>
      </c>
      <c r="D21" s="10">
        <v>8</v>
      </c>
    </row>
    <row r="22" spans="1:6" x14ac:dyDescent="0.25">
      <c r="A22" s="8">
        <v>46035</v>
      </c>
      <c r="B22" s="9">
        <v>0.33333333333333331</v>
      </c>
      <c r="C22" s="9">
        <v>0.6875</v>
      </c>
      <c r="D22" s="10">
        <v>8.5</v>
      </c>
    </row>
    <row r="23" spans="1:6" x14ac:dyDescent="0.25">
      <c r="A23" s="8">
        <v>46036</v>
      </c>
      <c r="B23" s="9">
        <v>0.29166666666666669</v>
      </c>
      <c r="C23" s="9">
        <v>0.625</v>
      </c>
      <c r="D23" s="10">
        <v>8</v>
      </c>
    </row>
    <row r="24" spans="1:6" x14ac:dyDescent="0.25">
      <c r="A24" s="8">
        <v>46037</v>
      </c>
      <c r="B24" s="9">
        <v>0.33333333333333331</v>
      </c>
      <c r="C24" s="9">
        <v>0.70833333333333337</v>
      </c>
      <c r="D24" s="10">
        <v>9</v>
      </c>
    </row>
    <row r="25" spans="1:6" x14ac:dyDescent="0.25">
      <c r="A25" s="8">
        <v>46038</v>
      </c>
      <c r="B25" s="9">
        <v>0.29166666666666669</v>
      </c>
      <c r="C25" s="9">
        <v>0.625</v>
      </c>
      <c r="D25" s="10">
        <v>8</v>
      </c>
      <c r="E25" s="84"/>
      <c r="F25" s="1"/>
    </row>
    <row r="26" spans="1:6" x14ac:dyDescent="0.25">
      <c r="A26" s="8">
        <v>46039</v>
      </c>
      <c r="B26" s="9">
        <v>0.29166666666666669</v>
      </c>
      <c r="C26" s="31">
        <v>0.5</v>
      </c>
      <c r="D26" s="10">
        <v>5</v>
      </c>
    </row>
    <row r="27" spans="1:6" x14ac:dyDescent="0.25">
      <c r="A27" s="8">
        <v>46040</v>
      </c>
      <c r="B27" s="9"/>
      <c r="C27" s="9"/>
      <c r="D27" s="10"/>
    </row>
    <row r="28" spans="1:6" x14ac:dyDescent="0.25">
      <c r="A28" s="4"/>
      <c r="B28" s="15"/>
      <c r="C28" s="15"/>
      <c r="D28" s="15">
        <f>SUM(D21:D27)</f>
        <v>46.5</v>
      </c>
    </row>
    <row r="30" spans="1:6" x14ac:dyDescent="0.25">
      <c r="A30" s="8">
        <v>46041</v>
      </c>
      <c r="B30" s="9">
        <v>0.375</v>
      </c>
      <c r="C30" s="9">
        <v>0.70833333333333337</v>
      </c>
      <c r="D30" s="10">
        <v>8</v>
      </c>
    </row>
    <row r="31" spans="1:6" x14ac:dyDescent="0.25">
      <c r="A31" s="8">
        <v>46042</v>
      </c>
      <c r="B31" s="9">
        <v>0.375</v>
      </c>
      <c r="C31" s="9">
        <v>0.72916666666666663</v>
      </c>
      <c r="D31" s="10">
        <v>8.5</v>
      </c>
    </row>
    <row r="32" spans="1:6" x14ac:dyDescent="0.25">
      <c r="A32" s="8">
        <v>46043</v>
      </c>
      <c r="B32" s="9">
        <v>0.375</v>
      </c>
      <c r="C32" s="9">
        <v>0.70833333333333337</v>
      </c>
      <c r="D32" s="10">
        <v>8</v>
      </c>
    </row>
    <row r="33" spans="1:4" x14ac:dyDescent="0.25">
      <c r="A33" s="8">
        <v>46044</v>
      </c>
      <c r="B33" s="9">
        <v>0.375</v>
      </c>
      <c r="C33" s="9">
        <v>0.75</v>
      </c>
      <c r="D33" s="10">
        <v>9</v>
      </c>
    </row>
    <row r="34" spans="1:4" x14ac:dyDescent="0.25">
      <c r="A34" s="8">
        <v>46045</v>
      </c>
      <c r="B34" s="9">
        <v>0.375</v>
      </c>
      <c r="C34" s="9">
        <v>0.70833333333333337</v>
      </c>
      <c r="D34" s="10">
        <v>8</v>
      </c>
    </row>
    <row r="35" spans="1:4" x14ac:dyDescent="0.25">
      <c r="A35" s="8">
        <v>46046</v>
      </c>
      <c r="B35" s="9">
        <v>0.375</v>
      </c>
      <c r="C35" s="31">
        <v>0.58333333333333337</v>
      </c>
      <c r="D35" s="10">
        <v>5</v>
      </c>
    </row>
    <row r="36" spans="1:4" x14ac:dyDescent="0.25">
      <c r="A36" s="8">
        <v>46047</v>
      </c>
      <c r="B36" s="9"/>
      <c r="C36" s="9"/>
      <c r="D36" s="15"/>
    </row>
    <row r="37" spans="1:4" x14ac:dyDescent="0.25">
      <c r="A37" s="4"/>
      <c r="B37" s="15"/>
      <c r="C37" s="15"/>
      <c r="D37" s="15">
        <v>46.5</v>
      </c>
    </row>
    <row r="39" spans="1:4" x14ac:dyDescent="0.25">
      <c r="A39" s="8">
        <v>46048</v>
      </c>
      <c r="B39" s="9">
        <v>0.375</v>
      </c>
      <c r="C39" s="9">
        <v>0.75</v>
      </c>
      <c r="D39" s="10">
        <v>9</v>
      </c>
    </row>
    <row r="40" spans="1:4" x14ac:dyDescent="0.25">
      <c r="A40" s="8">
        <v>46049</v>
      </c>
      <c r="B40" s="9">
        <v>0.375</v>
      </c>
      <c r="C40" s="9">
        <v>0.79166666666666663</v>
      </c>
      <c r="D40" s="10">
        <v>10</v>
      </c>
    </row>
    <row r="41" spans="1:4" x14ac:dyDescent="0.25">
      <c r="A41" s="8">
        <v>46050</v>
      </c>
      <c r="B41" s="9">
        <v>0.375</v>
      </c>
      <c r="C41" s="9">
        <v>0.75</v>
      </c>
      <c r="D41" s="10">
        <v>9</v>
      </c>
    </row>
    <row r="42" spans="1:4" x14ac:dyDescent="0.25">
      <c r="A42" s="8">
        <v>46051</v>
      </c>
      <c r="B42" s="9">
        <v>0.375</v>
      </c>
      <c r="C42" s="9">
        <v>0.79166666666666663</v>
      </c>
      <c r="D42" s="10">
        <v>10</v>
      </c>
    </row>
    <row r="43" spans="1:4" x14ac:dyDescent="0.25">
      <c r="A43" s="8">
        <v>46052</v>
      </c>
      <c r="B43" s="9">
        <v>0.375</v>
      </c>
      <c r="C43" s="9">
        <v>0.72916666666666663</v>
      </c>
      <c r="D43" s="10">
        <v>8.5</v>
      </c>
    </row>
    <row r="44" spans="1:4" x14ac:dyDescent="0.25">
      <c r="A44" s="8">
        <v>46053</v>
      </c>
      <c r="B44" s="9"/>
      <c r="C44" s="9"/>
      <c r="D44" s="15"/>
    </row>
    <row r="45" spans="1:4" x14ac:dyDescent="0.25">
      <c r="A45" s="8">
        <v>46054</v>
      </c>
      <c r="B45" s="9"/>
      <c r="C45" s="9"/>
      <c r="D45" s="15">
        <v>46.5</v>
      </c>
    </row>
  </sheetData>
  <mergeCells count="1">
    <mergeCell ref="B1:D1"/>
  </mergeCells>
  <conditionalFormatting sqref="B6 D6 B7:C8">
    <cfRule type="expression" dxfId="828" priority="74">
      <formula>AND(B$13="Salida",$F6&lt;&gt;"")</formula>
    </cfRule>
  </conditionalFormatting>
  <conditionalFormatting sqref="B12:B16">
    <cfRule type="expression" dxfId="827" priority="327">
      <formula>AND(OR(#REF!="Salida",#REF!="Entrada"),#REF!="")</formula>
    </cfRule>
  </conditionalFormatting>
  <conditionalFormatting sqref="B21">
    <cfRule type="expression" dxfId="826" priority="44">
      <formula>AND(OR(B$13="Salida",B$13="Entrada"),$F21="")</formula>
    </cfRule>
  </conditionalFormatting>
  <conditionalFormatting sqref="B21:B22">
    <cfRule type="expression" dxfId="825" priority="46">
      <formula>AND(B$13="Entrada",$F21&lt;&gt;"")</formula>
    </cfRule>
  </conditionalFormatting>
  <conditionalFormatting sqref="B23">
    <cfRule type="expression" dxfId="824" priority="41">
      <formula>AND(OR(B$13="Salida",B$13="Entrada"),$F23="")</formula>
    </cfRule>
  </conditionalFormatting>
  <conditionalFormatting sqref="B23:B24">
    <cfRule type="expression" dxfId="823" priority="43">
      <formula>AND(B$13="Entrada",$F23&lt;&gt;"")</formula>
    </cfRule>
    <cfRule type="expression" dxfId="822" priority="42">
      <formula>AND(B$13="Salida",$F23&lt;&gt;"")</formula>
    </cfRule>
  </conditionalFormatting>
  <conditionalFormatting sqref="B25:B26">
    <cfRule type="expression" dxfId="821" priority="40">
      <formula>AND(B$13="Entrada",$F25&lt;&gt;"")</formula>
    </cfRule>
    <cfRule type="expression" dxfId="820" priority="39">
      <formula>AND(B$13="Salida",$F25&lt;&gt;"")</formula>
    </cfRule>
    <cfRule type="expression" dxfId="819" priority="38">
      <formula>AND(OR(B$13="Salida",B$13="Entrada"),$F25="")</formula>
    </cfRule>
  </conditionalFormatting>
  <conditionalFormatting sqref="B30">
    <cfRule type="expression" dxfId="818" priority="26">
      <formula>AND(OR(B$13="Salida",B$13="Entrada"),$F30="")</formula>
    </cfRule>
  </conditionalFormatting>
  <conditionalFormatting sqref="B30:B31">
    <cfRule type="expression" dxfId="817" priority="28">
      <formula>AND(B$13="Entrada",$F30&lt;&gt;"")</formula>
    </cfRule>
    <cfRule type="expression" dxfId="816" priority="27">
      <formula>AND(B$13="Salida",$F30&lt;&gt;"")</formula>
    </cfRule>
  </conditionalFormatting>
  <conditionalFormatting sqref="B32">
    <cfRule type="expression" dxfId="815" priority="25">
      <formula>AND(B$13="Entrada",$F32&lt;&gt;"")</formula>
    </cfRule>
    <cfRule type="expression" dxfId="814" priority="23">
      <formula>AND(OR(B$13="Salida",B$13="Entrada"),$F32="")</formula>
    </cfRule>
    <cfRule type="expression" dxfId="813" priority="24">
      <formula>AND(B$13="Salida",$F32&lt;&gt;"")</formula>
    </cfRule>
  </conditionalFormatting>
  <conditionalFormatting sqref="B34:B35">
    <cfRule type="expression" dxfId="812" priority="22">
      <formula>AND(B$13="Entrada",$F34&lt;&gt;"")</formula>
    </cfRule>
    <cfRule type="expression" dxfId="811" priority="20">
      <formula>AND(OR(B$13="Salida",B$13="Entrada"),$F34="")</formula>
    </cfRule>
    <cfRule type="expression" dxfId="810" priority="21">
      <formula>AND(B$13="Salida",$F34&lt;&gt;"")</formula>
    </cfRule>
  </conditionalFormatting>
  <conditionalFormatting sqref="B7:C8">
    <cfRule type="expression" dxfId="809" priority="63">
      <formula>AND(B$13="Entrada",$F7&lt;&gt;"")</formula>
    </cfRule>
  </conditionalFormatting>
  <conditionalFormatting sqref="B8:C8 B6 D6">
    <cfRule type="expression" dxfId="808" priority="70">
      <formula>AND(OR(B$13="Salida",B$13="Entrada"),$F6="")</formula>
    </cfRule>
  </conditionalFormatting>
  <conditionalFormatting sqref="B9:C9">
    <cfRule type="expression" dxfId="807" priority="67">
      <formula>AND(B$10="Entrada",$F9&lt;&gt;"")</formula>
    </cfRule>
    <cfRule type="expression" dxfId="806" priority="66">
      <formula>AND(B$10="Salida",$F9&lt;&gt;"")</formula>
    </cfRule>
    <cfRule type="expression" dxfId="805" priority="65">
      <formula>AND(OR(B$10="Salida",B$10="Entrada"),$F9="")</formula>
    </cfRule>
  </conditionalFormatting>
  <conditionalFormatting sqref="B17:C18">
    <cfRule type="expression" dxfId="804" priority="434">
      <formula>AND(#REF!="Salida",#REF!&lt;&gt;"")</formula>
    </cfRule>
  </conditionalFormatting>
  <conditionalFormatting sqref="B27:C28 B36:C37 B44:C45">
    <cfRule type="expression" dxfId="803" priority="384">
      <formula>AND(#REF!="Salida",#REF!&lt;&gt;"")</formula>
    </cfRule>
    <cfRule type="expression" dxfId="802" priority="385">
      <formula>AND(#REF!="Entrada",#REF!&lt;&gt;"")</formula>
    </cfRule>
    <cfRule type="expression" dxfId="801" priority="386">
      <formula>AND(OR(#REF!="Salida",#REF!="Entrada"),#REF!="")</formula>
    </cfRule>
  </conditionalFormatting>
  <conditionalFormatting sqref="B3:D5 C7:D7 C8">
    <cfRule type="expression" dxfId="800" priority="62">
      <formula>AND(B$13="Entrada",$F3&lt;&gt;"")</formula>
    </cfRule>
    <cfRule type="expression" dxfId="799" priority="61">
      <formula>AND(B$13="Salida",$F3&lt;&gt;"")</formula>
    </cfRule>
  </conditionalFormatting>
  <conditionalFormatting sqref="B6:D6">
    <cfRule type="expression" dxfId="798" priority="60">
      <formula>AND(B$13="Entrada",$F6&lt;&gt;"")</formula>
    </cfRule>
  </conditionalFormatting>
  <conditionalFormatting sqref="B7:D7 B3:D5">
    <cfRule type="expression" dxfId="797" priority="64">
      <formula>AND(OR(B$13="Salida",B$13="Entrada"),$F3="")</formula>
    </cfRule>
  </conditionalFormatting>
  <conditionalFormatting sqref="B10:D10 B19:D19 D12">
    <cfRule type="expression" dxfId="796" priority="413">
      <formula>AND(OR(#REF!="Salida",#REF!="Entrada"),#REF!="")</formula>
    </cfRule>
  </conditionalFormatting>
  <conditionalFormatting sqref="B10:D10 B19:D19">
    <cfRule type="expression" dxfId="795" priority="412">
      <formula>AND(#REF!="Entrada",#REF!&lt;&gt;"")</formula>
    </cfRule>
    <cfRule type="expression" dxfId="794" priority="411">
      <formula>AND(#REF!="Salida",#REF!&lt;&gt;"")</formula>
    </cfRule>
  </conditionalFormatting>
  <conditionalFormatting sqref="B12:D16">
    <cfRule type="expression" dxfId="793" priority="299">
      <formula>AND(#REF!="Entrada",#REF!&lt;&gt;"")</formula>
    </cfRule>
    <cfRule type="expression" dxfId="792" priority="298">
      <formula>AND(#REF!="Salida",#REF!&lt;&gt;"")</formula>
    </cfRule>
  </conditionalFormatting>
  <conditionalFormatting sqref="B21:D22">
    <cfRule type="expression" dxfId="791" priority="45">
      <formula>AND(B$13="Salida",$F21&lt;&gt;"")</formula>
    </cfRule>
  </conditionalFormatting>
  <conditionalFormatting sqref="B39:D39">
    <cfRule type="expression" dxfId="790" priority="16">
      <formula>AND(OR(B$13="Salida",B$13="Entrada"),$F39="")</formula>
    </cfRule>
  </conditionalFormatting>
  <conditionalFormatting sqref="B39:D40">
    <cfRule type="expression" dxfId="789" priority="17">
      <formula>AND(B$13="Salida",$F39&lt;&gt;"")</formula>
    </cfRule>
    <cfRule type="expression" dxfId="788" priority="18">
      <formula>AND(B$13="Entrada",$F39&lt;&gt;"")</formula>
    </cfRule>
  </conditionalFormatting>
  <conditionalFormatting sqref="B40:D40 B42:D42">
    <cfRule type="expression" dxfId="787" priority="19">
      <formula>AND(OR(B$13="Salida",B$13="Entrada"),$F40="")</formula>
    </cfRule>
  </conditionalFormatting>
  <conditionalFormatting sqref="B41:D41">
    <cfRule type="expression" dxfId="786" priority="12">
      <formula>AND(B$13="Entrada",$F41&lt;&gt;"")</formula>
    </cfRule>
    <cfRule type="expression" dxfId="785" priority="11">
      <formula>AND(B$13="Salida",$F41&lt;&gt;"")</formula>
    </cfRule>
    <cfRule type="expression" dxfId="784" priority="10">
      <formula>AND(OR(B$13="Salida",B$13="Entrada"),$F41="")</formula>
    </cfRule>
  </conditionalFormatting>
  <conditionalFormatting sqref="B42:D43">
    <cfRule type="expression" dxfId="783" priority="15">
      <formula>AND(B$13="Entrada",$F42&lt;&gt;"")</formula>
    </cfRule>
    <cfRule type="expression" dxfId="782" priority="14">
      <formula>AND(B$13="Salida",$F42&lt;&gt;"")</formula>
    </cfRule>
  </conditionalFormatting>
  <conditionalFormatting sqref="B43:D43">
    <cfRule type="expression" dxfId="781" priority="13">
      <formula>AND(OR(B$13="Salida",B$13="Entrada"),$F43="")</formula>
    </cfRule>
  </conditionalFormatting>
  <conditionalFormatting sqref="C6">
    <cfRule type="expression" dxfId="780" priority="56">
      <formula>AND(C$13="Salida",$F6&lt;&gt;"")</formula>
    </cfRule>
    <cfRule type="expression" dxfId="779" priority="57">
      <formula>AND(C$13="Entrada",$F6&lt;&gt;"")</formula>
    </cfRule>
    <cfRule type="expression" dxfId="778" priority="58">
      <formula>AND(OR(C$13="Salida",C$13="Entrada"),$F6="")</formula>
    </cfRule>
    <cfRule type="expression" dxfId="777" priority="59">
      <formula>AND(C$13="Salida",$F6&lt;&gt;"")</formula>
    </cfRule>
  </conditionalFormatting>
  <conditionalFormatting sqref="C12 B17:C18">
    <cfRule type="expression" dxfId="776" priority="194">
      <formula>AND(OR(#REF!="Salida",#REF!="Entrada"),#REF!="")</formula>
    </cfRule>
    <cfRule type="expression" dxfId="775" priority="193">
      <formula>AND(#REF!="Entrada",#REF!&lt;&gt;"")</formula>
    </cfRule>
  </conditionalFormatting>
  <conditionalFormatting sqref="C12:C18">
    <cfRule type="expression" dxfId="774" priority="330">
      <formula>AND(#REF!="Salida",#REF!&lt;&gt;"")</formula>
    </cfRule>
  </conditionalFormatting>
  <conditionalFormatting sqref="C13:C18">
    <cfRule type="expression" dxfId="773" priority="331">
      <formula>AND(#REF!="Entrada",#REF!&lt;&gt;"")</formula>
    </cfRule>
  </conditionalFormatting>
  <conditionalFormatting sqref="C26">
    <cfRule type="expression" dxfId="772" priority="49">
      <formula>AND(C$10="Entrada",$F26&lt;&gt;"")</formula>
    </cfRule>
    <cfRule type="expression" dxfId="771" priority="48">
      <formula>AND(C$10="Salida",$F26&lt;&gt;"")</formula>
    </cfRule>
    <cfRule type="expression" dxfId="770" priority="47">
      <formula>AND(OR(C$10="Salida",C$10="Entrada"),$F26="")</formula>
    </cfRule>
  </conditionalFormatting>
  <conditionalFormatting sqref="C35">
    <cfRule type="expression" dxfId="769" priority="29">
      <formula>AND(OR(C$10="Salida",C$10="Entrada"),$F35="")</formula>
    </cfRule>
    <cfRule type="expression" dxfId="768" priority="30">
      <formula>AND(C$10="Salida",$F35&lt;&gt;"")</formula>
    </cfRule>
    <cfRule type="expression" dxfId="767" priority="31">
      <formula>AND(C$10="Entrada",$F35&lt;&gt;"")</formula>
    </cfRule>
  </conditionalFormatting>
  <conditionalFormatting sqref="C36">
    <cfRule type="expression" dxfId="766" priority="184">
      <formula>AND(#REF!="Salida",#REF!&lt;&gt;"")</formula>
    </cfRule>
    <cfRule type="expression" dxfId="765" priority="185">
      <formula>AND(#REF!="Entrada",#REF!&lt;&gt;"")</formula>
    </cfRule>
  </conditionalFormatting>
  <conditionalFormatting sqref="C9:D9">
    <cfRule type="expression" dxfId="764" priority="71">
      <formula>AND(OR(C$13="Salida",C$13="Entrada"),$F7="")</formula>
    </cfRule>
    <cfRule type="expression" dxfId="763" priority="72">
      <formula>AND(C$13="Salida",$F7&lt;&gt;"")</formula>
    </cfRule>
    <cfRule type="expression" dxfId="762" priority="73">
      <formula>AND(C$13="Entrada",$F7&lt;&gt;"")</formula>
    </cfRule>
  </conditionalFormatting>
  <conditionalFormatting sqref="C13:D16">
    <cfRule type="expression" dxfId="761" priority="300">
      <formula>AND(OR(#REF!="Salida",#REF!="Entrada"),#REF!="")</formula>
    </cfRule>
  </conditionalFormatting>
  <conditionalFormatting sqref="C21:D25 B22 B24">
    <cfRule type="expression" dxfId="760" priority="55">
      <formula>AND(OR(B$13="Salida",B$13="Entrada"),$F21="")</formula>
    </cfRule>
  </conditionalFormatting>
  <conditionalFormatting sqref="C21:D25">
    <cfRule type="expression" dxfId="759" priority="54">
      <formula>AND(C$13="Entrada",$F21&lt;&gt;"")</formula>
    </cfRule>
  </conditionalFormatting>
  <conditionalFormatting sqref="C23:D25">
    <cfRule type="expression" dxfId="758" priority="53">
      <formula>AND(C$13="Salida",$F23&lt;&gt;"")</formula>
    </cfRule>
  </conditionalFormatting>
  <conditionalFormatting sqref="C26:D26">
    <cfRule type="expression" dxfId="757" priority="52">
      <formula>AND(C$13="Entrada",$F24&lt;&gt;"")</formula>
    </cfRule>
    <cfRule type="expression" dxfId="756" priority="50">
      <formula>AND(OR(C$13="Salida",C$13="Entrada"),$F24="")</formula>
    </cfRule>
    <cfRule type="expression" dxfId="755" priority="51">
      <formula>AND(C$13="Salida",$F24&lt;&gt;"")</formula>
    </cfRule>
  </conditionalFormatting>
  <conditionalFormatting sqref="C27:D27">
    <cfRule type="expression" dxfId="754" priority="262">
      <formula>AND(#REF!="Entrada",#REF!&lt;&gt;"")</formula>
    </cfRule>
    <cfRule type="expression" dxfId="753" priority="261">
      <formula>AND(#REF!="Salida",#REF!&lt;&gt;"")</formula>
    </cfRule>
  </conditionalFormatting>
  <conditionalFormatting sqref="C30:D30 B31:D31 C32:D32 B33:D33 C34:D34">
    <cfRule type="expression" dxfId="752" priority="37">
      <formula>AND(OR(B$13="Salida",B$13="Entrada"),$F30="")</formula>
    </cfRule>
  </conditionalFormatting>
  <conditionalFormatting sqref="C30:D32 B33:D33 C34:D34">
    <cfRule type="expression" dxfId="751" priority="35">
      <formula>AND(B$13="Salida",$F30&lt;&gt;"")</formula>
    </cfRule>
    <cfRule type="expression" dxfId="750" priority="36">
      <formula>AND(B$13="Entrada",$F30&lt;&gt;"")</formula>
    </cfRule>
  </conditionalFormatting>
  <conditionalFormatting sqref="C35:D35">
    <cfRule type="expression" dxfId="749" priority="32">
      <formula>AND(OR(C$13="Salida",C$13="Entrada"),$F33="")</formula>
    </cfRule>
    <cfRule type="expression" dxfId="748" priority="33">
      <formula>AND(C$13="Salida",$F33&lt;&gt;"")</formula>
    </cfRule>
    <cfRule type="expression" dxfId="747" priority="34">
      <formula>AND(C$13="Entrada",$F33&lt;&gt;"")</formula>
    </cfRule>
  </conditionalFormatting>
  <conditionalFormatting sqref="C44:D45">
    <cfRule type="expression" dxfId="746" priority="2">
      <formula>AND(#REF!="Entrada",#REF!&lt;&gt;"")</formula>
    </cfRule>
    <cfRule type="expression" dxfId="745" priority="1">
      <formula>AND(#REF!="Salida",#REF!&lt;&gt;"")</formula>
    </cfRule>
  </conditionalFormatting>
  <conditionalFormatting sqref="D8">
    <cfRule type="expression" dxfId="744" priority="75">
      <formula>AND(OR(D$13="Salida",D$13="Entrada"),$F6="")</formula>
    </cfRule>
    <cfRule type="expression" dxfId="743" priority="68">
      <formula>AND(D$13="Salida",$F6&lt;&gt;"")</formula>
    </cfRule>
    <cfRule type="expression" dxfId="742" priority="69">
      <formula>AND(D$13="Entrada",$F6&lt;&gt;"")</formula>
    </cfRule>
  </conditionalFormatting>
  <conditionalFormatting sqref="D17">
    <cfRule type="expression" dxfId="741" priority="336">
      <formula>AND(#REF!="Salida",#REF!&lt;&gt;"")</formula>
    </cfRule>
    <cfRule type="expression" dxfId="740" priority="337">
      <formula>AND(#REF!="Entrada",#REF!&lt;&gt;"")</formula>
    </cfRule>
  </conditionalFormatting>
  <conditionalFormatting sqref="D17:D18">
    <cfRule type="expression" dxfId="739" priority="335">
      <formula>AND(OR(#REF!="Salida",#REF!="Entrada"),#REF!="")</formula>
    </cfRule>
  </conditionalFormatting>
  <conditionalFormatting sqref="D18">
    <cfRule type="expression" dxfId="738" priority="333">
      <formula>AND(#REF!="Salida",#REF!&lt;&gt;"")</formula>
    </cfRule>
    <cfRule type="expression" dxfId="737" priority="334">
      <formula>AND(#REF!="Entrada",#REF!&lt;&gt;"")</formula>
    </cfRule>
  </conditionalFormatting>
  <conditionalFormatting sqref="D27">
    <cfRule type="expression" dxfId="736" priority="269">
      <formula>AND(OR(#REF!="Salida",#REF!="Entrada"),#REF!="")</formula>
    </cfRule>
  </conditionalFormatting>
  <conditionalFormatting sqref="D28">
    <cfRule type="expression" dxfId="735" priority="9">
      <formula>AND(OR(#REF!="Salida",#REF!="Entrada"),#REF!="")</formula>
    </cfRule>
    <cfRule type="expression" dxfId="734" priority="8">
      <formula>AND(#REF!="Entrada",#REF!&lt;&gt;"")</formula>
    </cfRule>
    <cfRule type="expression" dxfId="733" priority="7">
      <formula>AND(#REF!="Salida",#REF!&lt;&gt;"")</formula>
    </cfRule>
  </conditionalFormatting>
  <conditionalFormatting sqref="D36:D37">
    <cfRule type="expression" dxfId="732" priority="4">
      <formula>AND(#REF!="Salida",#REF!&lt;&gt;"")</formula>
    </cfRule>
    <cfRule type="expression" dxfId="731" priority="6">
      <formula>AND(OR(#REF!="Salida",#REF!="Entrada"),#REF!="")</formula>
    </cfRule>
    <cfRule type="expression" dxfId="730" priority="5">
      <formula>AND(#REF!="Entrada",#REF!&lt;&gt;"")</formula>
    </cfRule>
  </conditionalFormatting>
  <conditionalFormatting sqref="D44:D45">
    <cfRule type="expression" dxfId="729" priority="3">
      <formula>AND(OR(#REF!="Salida",#REF!="Entrada"),#REF!="")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D230-E1CC-44D8-809E-F2CA196BB9D4}">
  <dimension ref="B1:AO244"/>
  <sheetViews>
    <sheetView tabSelected="1" topLeftCell="A44" zoomScaleNormal="100" workbookViewId="0">
      <selection activeCell="Z213" sqref="Z213"/>
    </sheetView>
  </sheetViews>
  <sheetFormatPr baseColWidth="10" defaultColWidth="11.42578125" defaultRowHeight="15" x14ac:dyDescent="0.25"/>
  <cols>
    <col min="1" max="1" width="11.42578125" customWidth="1"/>
    <col min="2" max="2" width="13" bestFit="1" customWidth="1"/>
    <col min="3" max="3" width="7" customWidth="1"/>
    <col min="4" max="4" width="6" customWidth="1"/>
    <col min="5" max="5" width="8" customWidth="1"/>
    <col min="6" max="6" width="7.42578125" hidden="1" customWidth="1"/>
    <col min="7" max="7" width="7" hidden="1" customWidth="1"/>
    <col min="8" max="8" width="7.5703125" style="1" hidden="1" customWidth="1"/>
    <col min="9" max="11" width="7.5703125" style="1" customWidth="1"/>
    <col min="12" max="12" width="7" customWidth="1"/>
    <col min="13" max="13" width="7.28515625" customWidth="1"/>
    <col min="14" max="14" width="7" style="1" customWidth="1"/>
    <col min="15" max="15" width="6" customWidth="1"/>
    <col min="16" max="16" width="7" customWidth="1"/>
    <col min="17" max="17" width="7.28515625" style="1" customWidth="1"/>
    <col min="18" max="19" width="7" customWidth="1"/>
    <col min="20" max="23" width="7.28515625" style="1" customWidth="1"/>
    <col min="24" max="25" width="7" customWidth="1"/>
    <col min="26" max="26" width="7.28515625" style="1" customWidth="1"/>
    <col min="27" max="27" width="6" customWidth="1"/>
    <col min="28" max="28" width="7" customWidth="1"/>
    <col min="29" max="29" width="8.28515625" style="1" customWidth="1"/>
    <col min="30" max="30" width="6" hidden="1" customWidth="1"/>
    <col min="31" max="31" width="5.7109375" hidden="1" customWidth="1"/>
    <col min="32" max="32" width="16.85546875" style="42" hidden="1" customWidth="1"/>
    <col min="33" max="36" width="0" hidden="1" customWidth="1"/>
    <col min="37" max="37" width="20.140625" hidden="1" customWidth="1"/>
    <col min="38" max="42" width="0" hidden="1" customWidth="1"/>
  </cols>
  <sheetData>
    <row r="1" spans="2:32" ht="15" hidden="1" customHeight="1" x14ac:dyDescent="0.25">
      <c r="B1" s="4" t="s">
        <v>0</v>
      </c>
      <c r="C1" s="113" t="s">
        <v>3</v>
      </c>
      <c r="D1" s="113"/>
      <c r="E1" s="5"/>
      <c r="F1" s="113" t="s">
        <v>8</v>
      </c>
      <c r="G1" s="113"/>
      <c r="H1" s="6"/>
      <c r="I1" s="6"/>
      <c r="J1" s="6"/>
      <c r="K1" s="6"/>
      <c r="L1" s="113" t="s">
        <v>7</v>
      </c>
      <c r="M1" s="113"/>
      <c r="N1" s="6"/>
      <c r="O1" s="113" t="s">
        <v>2</v>
      </c>
      <c r="P1" s="113"/>
      <c r="Q1" s="6"/>
      <c r="R1" s="113" t="s">
        <v>4</v>
      </c>
      <c r="S1" s="113"/>
      <c r="T1" s="6"/>
      <c r="U1" s="75"/>
      <c r="V1" s="75"/>
      <c r="W1" s="75"/>
      <c r="X1" s="113" t="s">
        <v>9</v>
      </c>
      <c r="Y1" s="113"/>
      <c r="Z1" s="6"/>
      <c r="AA1" s="113" t="s">
        <v>10</v>
      </c>
      <c r="AB1" s="113"/>
      <c r="AC1" s="7"/>
      <c r="AD1" s="113" t="s">
        <v>6</v>
      </c>
      <c r="AE1" s="113"/>
      <c r="AF1" s="37"/>
    </row>
    <row r="2" spans="2:32" ht="15" hidden="1" customHeight="1" x14ac:dyDescent="0.25">
      <c r="B2" s="8">
        <v>45656</v>
      </c>
      <c r="C2" s="9">
        <v>0.75</v>
      </c>
      <c r="D2" s="9">
        <v>0</v>
      </c>
      <c r="E2" s="9"/>
      <c r="F2" s="9">
        <v>0.33333333333333331</v>
      </c>
      <c r="G2" s="9">
        <v>0.70833333333333337</v>
      </c>
      <c r="H2" s="10">
        <v>9</v>
      </c>
      <c r="I2" s="10"/>
      <c r="J2" s="10"/>
      <c r="K2" s="10"/>
      <c r="L2" s="9">
        <v>0.33333333333333331</v>
      </c>
      <c r="M2" s="9">
        <v>0.6875</v>
      </c>
      <c r="N2" s="10">
        <v>8.5</v>
      </c>
      <c r="O2" s="9">
        <v>0.33333333333333331</v>
      </c>
      <c r="P2" s="9">
        <v>0.75</v>
      </c>
      <c r="Q2" s="10">
        <v>10</v>
      </c>
      <c r="R2" s="9">
        <v>0.33333333333333331</v>
      </c>
      <c r="S2" s="9">
        <v>0.75</v>
      </c>
      <c r="T2" s="10">
        <v>10</v>
      </c>
      <c r="U2" s="76"/>
      <c r="V2" s="76"/>
      <c r="W2" s="76"/>
      <c r="X2" s="9">
        <v>0.33333333333333331</v>
      </c>
      <c r="Y2" s="9">
        <v>0.66666666666666663</v>
      </c>
      <c r="Z2" s="10">
        <v>8</v>
      </c>
      <c r="AA2" s="5"/>
      <c r="AB2" s="5"/>
      <c r="AC2" s="7"/>
      <c r="AD2" s="9">
        <v>0.33333333333333331</v>
      </c>
      <c r="AE2" s="9">
        <v>0.73333333333333328</v>
      </c>
      <c r="AF2" s="38">
        <v>10</v>
      </c>
    </row>
    <row r="3" spans="2:32" ht="15" hidden="1" customHeight="1" x14ac:dyDescent="0.25">
      <c r="B3" s="8">
        <v>45657</v>
      </c>
      <c r="C3" s="9">
        <v>0.75</v>
      </c>
      <c r="D3" s="9">
        <v>0</v>
      </c>
      <c r="E3" s="9"/>
      <c r="F3" s="9">
        <v>0.33333333333333331</v>
      </c>
      <c r="G3" s="9">
        <v>0.70833333333333337</v>
      </c>
      <c r="H3" s="10">
        <v>9</v>
      </c>
      <c r="I3" s="10"/>
      <c r="J3" s="10"/>
      <c r="K3" s="10"/>
      <c r="L3" s="9">
        <v>0.33333333333333331</v>
      </c>
      <c r="M3" s="9">
        <v>0.70833333333333337</v>
      </c>
      <c r="N3" s="10">
        <v>9</v>
      </c>
      <c r="O3" s="9">
        <v>0.33333333333333331</v>
      </c>
      <c r="P3" s="9">
        <v>0.70833333333333337</v>
      </c>
      <c r="Q3" s="10">
        <v>9</v>
      </c>
      <c r="R3" s="9">
        <v>0.33333333333333331</v>
      </c>
      <c r="S3" s="9">
        <v>0.75</v>
      </c>
      <c r="T3" s="10">
        <v>10</v>
      </c>
      <c r="U3" s="76"/>
      <c r="V3" s="76"/>
      <c r="W3" s="76"/>
      <c r="X3" s="9">
        <v>0.33333333333333331</v>
      </c>
      <c r="Y3" s="9">
        <v>0.66666666666666663</v>
      </c>
      <c r="Z3" s="10">
        <v>8</v>
      </c>
      <c r="AA3" s="5"/>
      <c r="AB3" s="5"/>
      <c r="AC3" s="7"/>
      <c r="AD3" s="9">
        <v>0.33333333333333331</v>
      </c>
      <c r="AE3" s="9">
        <v>0.73333333333333328</v>
      </c>
      <c r="AF3" s="38">
        <v>10</v>
      </c>
    </row>
    <row r="4" spans="2:32" ht="15" hidden="1" customHeight="1" x14ac:dyDescent="0.25">
      <c r="B4" s="8">
        <v>45658</v>
      </c>
      <c r="C4" s="11">
        <v>0.75</v>
      </c>
      <c r="D4" s="11">
        <v>0</v>
      </c>
      <c r="E4" s="11"/>
      <c r="F4" s="9">
        <v>0.33333333333333331</v>
      </c>
      <c r="G4" s="9">
        <v>0.66666666666666663</v>
      </c>
      <c r="H4" s="10">
        <v>8</v>
      </c>
      <c r="I4" s="10"/>
      <c r="J4" s="10"/>
      <c r="K4" s="10"/>
      <c r="L4" s="11">
        <v>0.54166666666666663</v>
      </c>
      <c r="M4" s="11">
        <v>0.83333333333333337</v>
      </c>
      <c r="N4" s="12">
        <v>7</v>
      </c>
      <c r="O4" s="9">
        <v>0.33333333333333331</v>
      </c>
      <c r="P4" s="9">
        <v>0.66666666666666663</v>
      </c>
      <c r="Q4" s="10">
        <v>8</v>
      </c>
      <c r="R4" s="11">
        <v>0.33333333333333331</v>
      </c>
      <c r="S4" s="11">
        <v>0.66666666666666663</v>
      </c>
      <c r="T4" s="12">
        <v>8</v>
      </c>
      <c r="U4" s="76"/>
      <c r="V4" s="76"/>
      <c r="W4" s="76"/>
      <c r="X4" s="9">
        <v>0.33333333333333331</v>
      </c>
      <c r="Y4" s="9">
        <v>0.66666666666666663</v>
      </c>
      <c r="Z4" s="10">
        <v>8</v>
      </c>
      <c r="AA4" s="9"/>
      <c r="AB4" s="9"/>
      <c r="AC4" s="7"/>
      <c r="AD4" s="9">
        <v>0.33333333333333331</v>
      </c>
      <c r="AE4" s="9">
        <v>0.73333333333333328</v>
      </c>
      <c r="AF4" s="38">
        <v>8</v>
      </c>
    </row>
    <row r="5" spans="2:32" ht="15" hidden="1" customHeight="1" x14ac:dyDescent="0.25">
      <c r="B5" s="8">
        <v>45659</v>
      </c>
      <c r="C5" s="9">
        <v>0.75</v>
      </c>
      <c r="D5" s="9">
        <v>0</v>
      </c>
      <c r="E5" s="9"/>
      <c r="F5" s="9">
        <v>0.33333333333333331</v>
      </c>
      <c r="G5" s="9">
        <v>0.70833333333333337</v>
      </c>
      <c r="H5" s="10">
        <v>9</v>
      </c>
      <c r="I5" s="10"/>
      <c r="J5" s="10"/>
      <c r="K5" s="10"/>
      <c r="L5" s="9">
        <v>0.33333333333333331</v>
      </c>
      <c r="M5" s="9">
        <v>0.70833333333333337</v>
      </c>
      <c r="N5" s="10">
        <v>9</v>
      </c>
      <c r="O5" s="9">
        <v>0.375</v>
      </c>
      <c r="P5" s="9">
        <v>0.70833333333333337</v>
      </c>
      <c r="Q5" s="10">
        <v>8</v>
      </c>
      <c r="R5" s="9">
        <v>0.33333333333333331</v>
      </c>
      <c r="S5" s="9">
        <v>0.75</v>
      </c>
      <c r="T5" s="10">
        <v>10</v>
      </c>
      <c r="U5" s="76"/>
      <c r="V5" s="76"/>
      <c r="W5" s="76"/>
      <c r="X5" s="9">
        <v>0.33333333333333331</v>
      </c>
      <c r="Y5" s="9">
        <v>0.75</v>
      </c>
      <c r="Z5" s="10">
        <v>10</v>
      </c>
      <c r="AA5" s="9"/>
      <c r="AB5" s="9"/>
      <c r="AC5" s="7"/>
      <c r="AD5" s="9">
        <v>0.33333333333333331</v>
      </c>
      <c r="AE5" s="9">
        <v>0.73333333333333328</v>
      </c>
      <c r="AF5" s="38">
        <v>10</v>
      </c>
    </row>
    <row r="6" spans="2:32" ht="15" hidden="1" customHeight="1" x14ac:dyDescent="0.25">
      <c r="B6" s="8">
        <v>45660</v>
      </c>
      <c r="C6" s="9">
        <v>0.75</v>
      </c>
      <c r="D6" s="9">
        <v>0</v>
      </c>
      <c r="E6" s="9"/>
      <c r="F6" s="9">
        <v>0.33333333333333331</v>
      </c>
      <c r="G6" s="9">
        <v>0.70833333333333337</v>
      </c>
      <c r="H6" s="10">
        <v>9</v>
      </c>
      <c r="I6" s="10"/>
      <c r="J6" s="10"/>
      <c r="K6" s="10"/>
      <c r="L6" s="9">
        <v>0.35416666666666669</v>
      </c>
      <c r="M6" s="9">
        <v>0.70833333333333337</v>
      </c>
      <c r="N6" s="10">
        <v>8.5</v>
      </c>
      <c r="O6" s="9">
        <v>0.375</v>
      </c>
      <c r="P6" s="9">
        <v>0.70833333333333337</v>
      </c>
      <c r="Q6" s="10">
        <v>8</v>
      </c>
      <c r="R6" s="9">
        <v>0.33333333333333331</v>
      </c>
      <c r="S6" s="9">
        <v>0.75</v>
      </c>
      <c r="T6" s="10">
        <v>10</v>
      </c>
      <c r="U6" s="76"/>
      <c r="V6" s="76"/>
      <c r="W6" s="76"/>
      <c r="X6" s="9">
        <v>0.33333333333333331</v>
      </c>
      <c r="Y6" s="9">
        <v>0.75</v>
      </c>
      <c r="Z6" s="10">
        <v>10</v>
      </c>
      <c r="AA6" s="9"/>
      <c r="AB6" s="9"/>
      <c r="AC6" s="7"/>
      <c r="AD6" s="9">
        <v>0.33333333333333331</v>
      </c>
      <c r="AE6" s="9">
        <v>0.73333333333333328</v>
      </c>
      <c r="AF6" s="38">
        <v>10</v>
      </c>
    </row>
    <row r="7" spans="2:32" ht="15" hidden="1" customHeight="1" x14ac:dyDescent="0.25">
      <c r="B7" s="8">
        <v>45661</v>
      </c>
      <c r="C7" s="9">
        <v>0.75</v>
      </c>
      <c r="D7" s="9">
        <v>0</v>
      </c>
      <c r="E7" s="9"/>
      <c r="F7" s="9"/>
      <c r="G7" s="9"/>
      <c r="H7" s="10"/>
      <c r="I7" s="10"/>
      <c r="J7" s="10"/>
      <c r="K7" s="10"/>
      <c r="L7" s="11">
        <v>0.54166666666666663</v>
      </c>
      <c r="M7" s="11">
        <v>0.75</v>
      </c>
      <c r="N7" s="12">
        <v>5</v>
      </c>
      <c r="O7" s="11">
        <v>0.33333333333333331</v>
      </c>
      <c r="P7" s="11">
        <v>0.54166666666666663</v>
      </c>
      <c r="Q7" s="12">
        <v>5</v>
      </c>
      <c r="R7" s="9"/>
      <c r="S7" s="9"/>
      <c r="T7" s="10"/>
      <c r="U7" s="76"/>
      <c r="V7" s="76"/>
      <c r="W7" s="76"/>
      <c r="X7" s="9">
        <v>0.33333333333333331</v>
      </c>
      <c r="Y7" s="9">
        <v>0.5</v>
      </c>
      <c r="Z7" s="10">
        <v>4</v>
      </c>
      <c r="AA7" s="9"/>
      <c r="AB7" s="9"/>
      <c r="AC7" s="7"/>
      <c r="AD7" s="9"/>
      <c r="AE7" s="9"/>
      <c r="AF7" s="38"/>
    </row>
    <row r="8" spans="2:32" ht="15" hidden="1" customHeight="1" x14ac:dyDescent="0.25">
      <c r="B8" s="8">
        <v>45662</v>
      </c>
      <c r="C8" s="9"/>
      <c r="D8" s="9"/>
      <c r="E8" s="9"/>
      <c r="F8" s="11">
        <v>0.33333333333333331</v>
      </c>
      <c r="G8" s="11">
        <v>0.5</v>
      </c>
      <c r="H8" s="12">
        <v>4</v>
      </c>
      <c r="I8" s="12"/>
      <c r="J8" s="12"/>
      <c r="K8" s="12"/>
      <c r="L8" s="9"/>
      <c r="M8" s="9"/>
      <c r="N8" s="10"/>
      <c r="O8" s="9"/>
      <c r="P8" s="9"/>
      <c r="Q8" s="10"/>
      <c r="R8" s="9"/>
      <c r="S8" s="9"/>
      <c r="T8" s="10"/>
      <c r="U8" s="76"/>
      <c r="V8" s="76"/>
      <c r="W8" s="76"/>
      <c r="X8" s="9"/>
      <c r="Y8" s="9"/>
      <c r="Z8" s="10"/>
      <c r="AA8" s="9"/>
      <c r="AB8" s="9"/>
      <c r="AC8" s="7"/>
      <c r="AD8" s="9"/>
      <c r="AE8" s="9"/>
      <c r="AF8" s="38"/>
    </row>
    <row r="9" spans="2:32" ht="15" hidden="1" customHeight="1" x14ac:dyDescent="0.25">
      <c r="B9" s="13"/>
      <c r="C9" s="14"/>
      <c r="D9" s="14"/>
      <c r="E9" s="14"/>
      <c r="F9" s="14"/>
      <c r="G9" s="14"/>
      <c r="H9" s="15">
        <f>SUM(H2:H8)</f>
        <v>48</v>
      </c>
      <c r="I9" s="15"/>
      <c r="J9" s="15"/>
      <c r="K9" s="15"/>
      <c r="L9" s="14"/>
      <c r="M9" s="14"/>
      <c r="N9" s="16">
        <f>SUM(N2:N8)</f>
        <v>47</v>
      </c>
      <c r="O9" s="14"/>
      <c r="P9" s="14"/>
      <c r="Q9" s="15">
        <f>SUM(Q2:Q8)</f>
        <v>48</v>
      </c>
      <c r="R9" s="14"/>
      <c r="S9" s="14"/>
      <c r="T9" s="15">
        <f>SUM(T2:T8)</f>
        <v>48</v>
      </c>
      <c r="U9" s="77"/>
      <c r="V9" s="77"/>
      <c r="W9" s="77"/>
      <c r="X9" s="14"/>
      <c r="Y9" s="14"/>
      <c r="Z9" s="15">
        <f>SUM(Z2:Z8)</f>
        <v>48</v>
      </c>
      <c r="AA9" s="14"/>
      <c r="AB9" s="14"/>
      <c r="AC9" s="7"/>
      <c r="AD9" s="14"/>
      <c r="AE9" s="14"/>
      <c r="AF9" s="39">
        <f>SUM(AF2:AF8)</f>
        <v>48</v>
      </c>
    </row>
    <row r="10" spans="2:32" ht="15" hidden="1" customHeight="1" x14ac:dyDescent="0.25">
      <c r="B10" s="8">
        <v>45663</v>
      </c>
      <c r="C10" s="9">
        <v>0.75</v>
      </c>
      <c r="D10" s="9">
        <v>0</v>
      </c>
      <c r="E10" s="9"/>
      <c r="F10" s="9">
        <v>0.33333333333333331</v>
      </c>
      <c r="G10" s="9">
        <v>0.75</v>
      </c>
      <c r="H10" s="10">
        <v>10</v>
      </c>
      <c r="I10" s="10"/>
      <c r="J10" s="10"/>
      <c r="K10" s="10"/>
      <c r="L10" s="9">
        <v>0.33333333333333331</v>
      </c>
      <c r="M10" s="9">
        <v>0.75</v>
      </c>
      <c r="N10" s="10">
        <v>10</v>
      </c>
      <c r="O10" s="9">
        <v>0.33333333333333331</v>
      </c>
      <c r="P10" s="9">
        <v>0.75</v>
      </c>
      <c r="Q10" s="10">
        <v>10</v>
      </c>
      <c r="R10" s="9">
        <v>0.33333333333333331</v>
      </c>
      <c r="S10" s="9">
        <v>0.70833333333333337</v>
      </c>
      <c r="T10" s="10">
        <v>9</v>
      </c>
      <c r="U10" s="76"/>
      <c r="V10" s="76"/>
      <c r="W10" s="76"/>
      <c r="X10" s="9">
        <v>0.33333333333333331</v>
      </c>
      <c r="Y10" s="9">
        <v>0.70833333333333337</v>
      </c>
      <c r="Z10" s="10">
        <v>9</v>
      </c>
      <c r="AA10" s="9">
        <v>0.33333333333333331</v>
      </c>
      <c r="AB10" s="9">
        <v>0.75</v>
      </c>
      <c r="AC10" s="10">
        <v>10</v>
      </c>
      <c r="AD10" s="9">
        <v>0.33333333333333331</v>
      </c>
      <c r="AE10" s="9">
        <v>0.73333333333333328</v>
      </c>
      <c r="AF10" s="38">
        <v>9</v>
      </c>
    </row>
    <row r="11" spans="2:32" ht="15" hidden="1" customHeight="1" x14ac:dyDescent="0.25">
      <c r="B11" s="8">
        <v>45664</v>
      </c>
      <c r="C11" s="9">
        <v>0.75</v>
      </c>
      <c r="D11" s="9">
        <v>0</v>
      </c>
      <c r="E11" s="9"/>
      <c r="F11" s="9">
        <v>0.33333333333333331</v>
      </c>
      <c r="G11" s="9">
        <v>0.75</v>
      </c>
      <c r="H11" s="10">
        <v>10</v>
      </c>
      <c r="I11" s="10"/>
      <c r="J11" s="10"/>
      <c r="K11" s="10"/>
      <c r="L11" s="9">
        <v>0.33333333333333331</v>
      </c>
      <c r="M11" s="9">
        <v>0.75</v>
      </c>
      <c r="N11" s="10">
        <v>10</v>
      </c>
      <c r="O11" s="9">
        <v>0.375</v>
      </c>
      <c r="P11" s="9">
        <v>0.75</v>
      </c>
      <c r="Q11" s="10">
        <v>9</v>
      </c>
      <c r="R11" s="9">
        <v>0.33333333333333331</v>
      </c>
      <c r="S11" s="9">
        <v>0.70833333333333337</v>
      </c>
      <c r="T11" s="10">
        <v>9</v>
      </c>
      <c r="U11" s="76"/>
      <c r="V11" s="76"/>
      <c r="W11" s="76"/>
      <c r="X11" s="9">
        <v>0.375</v>
      </c>
      <c r="Y11" s="9">
        <v>0.70833333333333337</v>
      </c>
      <c r="Z11" s="10">
        <v>8</v>
      </c>
      <c r="AA11" s="9">
        <v>0.33333333333333331</v>
      </c>
      <c r="AB11" s="9">
        <v>0.75</v>
      </c>
      <c r="AC11" s="10">
        <v>10</v>
      </c>
      <c r="AD11" s="9">
        <v>0.33333333333333331</v>
      </c>
      <c r="AE11" s="9">
        <v>0.73333333333333328</v>
      </c>
      <c r="AF11" s="38">
        <v>9</v>
      </c>
    </row>
    <row r="12" spans="2:32" ht="15" hidden="1" customHeight="1" x14ac:dyDescent="0.25">
      <c r="B12" s="8">
        <v>45665</v>
      </c>
      <c r="C12" s="9">
        <v>0.75</v>
      </c>
      <c r="D12" s="9">
        <v>0</v>
      </c>
      <c r="E12" s="9"/>
      <c r="F12" s="9">
        <v>0.375</v>
      </c>
      <c r="G12" s="9">
        <v>0.75</v>
      </c>
      <c r="H12" s="10">
        <v>9</v>
      </c>
      <c r="I12" s="10"/>
      <c r="J12" s="10"/>
      <c r="K12" s="10"/>
      <c r="L12" s="9">
        <v>0.375</v>
      </c>
      <c r="M12" s="9">
        <v>0.75</v>
      </c>
      <c r="N12" s="10">
        <v>9</v>
      </c>
      <c r="O12" s="9">
        <v>0.33333333333333331</v>
      </c>
      <c r="P12" s="9">
        <v>0.75</v>
      </c>
      <c r="Q12" s="10">
        <v>10</v>
      </c>
      <c r="R12" s="9">
        <v>0.375</v>
      </c>
      <c r="S12" s="9">
        <v>0.70833333333333337</v>
      </c>
      <c r="T12" s="10">
        <v>8</v>
      </c>
      <c r="U12" s="76"/>
      <c r="V12" s="76"/>
      <c r="W12" s="76"/>
      <c r="X12" s="9">
        <v>0.33333333333333331</v>
      </c>
      <c r="Y12" s="9">
        <v>0.70833333333333337</v>
      </c>
      <c r="Z12" s="10">
        <v>9</v>
      </c>
      <c r="AA12" s="9">
        <v>0.33333333333333331</v>
      </c>
      <c r="AB12" s="9">
        <v>0.75</v>
      </c>
      <c r="AC12" s="10">
        <v>10</v>
      </c>
      <c r="AD12" s="9">
        <v>0.33333333333333331</v>
      </c>
      <c r="AE12" s="9">
        <v>0.73333333333333328</v>
      </c>
      <c r="AF12" s="38">
        <v>9</v>
      </c>
    </row>
    <row r="13" spans="2:32" ht="15" hidden="1" customHeight="1" x14ac:dyDescent="0.25">
      <c r="B13" s="8">
        <v>45666</v>
      </c>
      <c r="C13" s="9">
        <v>0.75</v>
      </c>
      <c r="D13" s="9">
        <v>0</v>
      </c>
      <c r="E13" s="9"/>
      <c r="F13" s="9">
        <v>0.375</v>
      </c>
      <c r="G13" s="9">
        <v>0.75</v>
      </c>
      <c r="H13" s="10">
        <v>9</v>
      </c>
      <c r="I13" s="10"/>
      <c r="J13" s="10"/>
      <c r="K13" s="10"/>
      <c r="L13" s="9">
        <v>0.33333333333333331</v>
      </c>
      <c r="M13" s="9">
        <v>0.75</v>
      </c>
      <c r="N13" s="10">
        <v>10</v>
      </c>
      <c r="O13" s="9">
        <v>0.375</v>
      </c>
      <c r="P13" s="9">
        <v>0.75</v>
      </c>
      <c r="Q13" s="10">
        <v>9</v>
      </c>
      <c r="R13" s="9">
        <v>0.33333333333333331</v>
      </c>
      <c r="S13" s="9">
        <v>0.70833333333333337</v>
      </c>
      <c r="T13" s="10">
        <v>9</v>
      </c>
      <c r="U13" s="76"/>
      <c r="V13" s="76"/>
      <c r="W13" s="76"/>
      <c r="X13" s="9">
        <v>0.375</v>
      </c>
      <c r="Y13" s="9">
        <v>0.70833333333333337</v>
      </c>
      <c r="Z13" s="10">
        <v>8</v>
      </c>
      <c r="AA13" s="9">
        <v>0.33333333333333331</v>
      </c>
      <c r="AB13" s="9">
        <v>0.70833333333333337</v>
      </c>
      <c r="AC13" s="10">
        <v>9</v>
      </c>
      <c r="AD13" s="9">
        <v>0.33333333333333331</v>
      </c>
      <c r="AE13" s="9">
        <v>0.73333333333333328</v>
      </c>
      <c r="AF13" s="38">
        <v>9</v>
      </c>
    </row>
    <row r="14" spans="2:32" ht="15" hidden="1" customHeight="1" x14ac:dyDescent="0.25">
      <c r="B14" s="8">
        <v>45667</v>
      </c>
      <c r="C14" s="9">
        <v>0.75</v>
      </c>
      <c r="D14" s="9">
        <v>0</v>
      </c>
      <c r="E14" s="9"/>
      <c r="F14" s="9">
        <v>0.33333333333333331</v>
      </c>
      <c r="G14" s="9">
        <v>0.75</v>
      </c>
      <c r="H14" s="10">
        <v>10</v>
      </c>
      <c r="I14" s="10"/>
      <c r="J14" s="10"/>
      <c r="K14" s="10"/>
      <c r="L14" s="9">
        <v>0.375</v>
      </c>
      <c r="M14" s="9">
        <v>0.75</v>
      </c>
      <c r="N14" s="10">
        <v>9</v>
      </c>
      <c r="O14" s="9">
        <v>0.33333333333333331</v>
      </c>
      <c r="P14" s="9">
        <v>0.75</v>
      </c>
      <c r="Q14" s="10">
        <v>10</v>
      </c>
      <c r="R14" s="9">
        <v>0.375</v>
      </c>
      <c r="S14" s="9">
        <v>0.70833333333333337</v>
      </c>
      <c r="T14" s="10">
        <v>8</v>
      </c>
      <c r="U14" s="76"/>
      <c r="V14" s="76"/>
      <c r="W14" s="76"/>
      <c r="X14" s="9">
        <v>0.33333333333333331</v>
      </c>
      <c r="Y14" s="9">
        <v>0.70833333333333337</v>
      </c>
      <c r="Z14" s="10">
        <v>9</v>
      </c>
      <c r="AA14" s="9">
        <v>0.33333333333333331</v>
      </c>
      <c r="AB14" s="9">
        <v>0.70833333333333337</v>
      </c>
      <c r="AC14" s="10">
        <v>9</v>
      </c>
      <c r="AD14" s="9">
        <v>0.33333333333333331</v>
      </c>
      <c r="AE14" s="9">
        <v>0.73333333333333328</v>
      </c>
      <c r="AF14" s="38">
        <v>8</v>
      </c>
    </row>
    <row r="15" spans="2:32" ht="15" hidden="1" customHeight="1" x14ac:dyDescent="0.25">
      <c r="B15" s="8">
        <v>45668</v>
      </c>
      <c r="C15" s="23">
        <v>0.75</v>
      </c>
      <c r="D15" s="9">
        <v>0</v>
      </c>
      <c r="E15" s="9"/>
      <c r="F15" s="9"/>
      <c r="G15" s="9"/>
      <c r="H15" s="10"/>
      <c r="I15" s="10"/>
      <c r="J15" s="10"/>
      <c r="K15" s="10"/>
      <c r="L15" s="9"/>
      <c r="M15" s="9"/>
      <c r="N15" s="10"/>
      <c r="O15" s="9"/>
      <c r="P15" s="9"/>
      <c r="Q15" s="10"/>
      <c r="R15" s="11">
        <v>0.54166666666666663</v>
      </c>
      <c r="S15" s="11">
        <v>0.75</v>
      </c>
      <c r="T15" s="12">
        <v>5</v>
      </c>
      <c r="U15" s="76"/>
      <c r="V15" s="76"/>
      <c r="W15" s="76"/>
      <c r="X15" s="25">
        <v>0.33333333333333331</v>
      </c>
      <c r="Y15" s="25">
        <v>0.54166666666666663</v>
      </c>
      <c r="Z15" s="26">
        <v>5</v>
      </c>
      <c r="AA15" s="9"/>
      <c r="AB15" s="9"/>
      <c r="AC15" s="7"/>
      <c r="AD15" s="9"/>
      <c r="AE15" s="9"/>
      <c r="AF15" s="38"/>
    </row>
    <row r="16" spans="2:32" ht="15" hidden="1" customHeight="1" x14ac:dyDescent="0.25">
      <c r="B16" s="8">
        <v>45669</v>
      </c>
      <c r="C16" s="23"/>
      <c r="D16" s="9"/>
      <c r="E16" s="9"/>
      <c r="F16" s="9"/>
      <c r="G16" s="9"/>
      <c r="H16" s="10"/>
      <c r="I16" s="10"/>
      <c r="J16" s="10"/>
      <c r="K16" s="10"/>
      <c r="L16" s="9"/>
      <c r="M16" s="9"/>
      <c r="N16" s="10"/>
      <c r="O16" s="9"/>
      <c r="P16" s="9"/>
      <c r="Q16" s="10"/>
      <c r="R16" s="9"/>
      <c r="S16" s="9"/>
      <c r="T16" s="10"/>
      <c r="U16" s="78"/>
      <c r="V16" s="78"/>
      <c r="W16" s="78"/>
      <c r="X16" s="23"/>
      <c r="Y16" s="23"/>
      <c r="Z16" s="24"/>
      <c r="AA16" s="9"/>
      <c r="AB16" s="9"/>
      <c r="AC16" s="7"/>
      <c r="AD16" s="9"/>
      <c r="AE16" s="9"/>
      <c r="AF16" s="38">
        <v>4</v>
      </c>
    </row>
    <row r="17" spans="2:32" ht="15" hidden="1" customHeight="1" x14ac:dyDescent="0.25">
      <c r="B17" s="13"/>
      <c r="C17" s="14"/>
      <c r="D17" s="14"/>
      <c r="E17" s="14"/>
      <c r="F17" s="14"/>
      <c r="G17" s="14"/>
      <c r="H17" s="15">
        <f>SUM(H10:H16)</f>
        <v>48</v>
      </c>
      <c r="I17" s="15"/>
      <c r="J17" s="15"/>
      <c r="K17" s="15"/>
      <c r="L17" s="14"/>
      <c r="M17" s="14"/>
      <c r="N17" s="15">
        <f>SUM(N10:N16)</f>
        <v>48</v>
      </c>
      <c r="O17" s="14"/>
      <c r="P17" s="14"/>
      <c r="Q17" s="15">
        <f>SUM(Q10:Q16)</f>
        <v>48</v>
      </c>
      <c r="R17" s="14"/>
      <c r="S17" s="14"/>
      <c r="T17" s="15">
        <f>SUM(T10:T16)</f>
        <v>48</v>
      </c>
      <c r="U17" s="77"/>
      <c r="V17" s="77"/>
      <c r="W17" s="77"/>
      <c r="X17" s="14"/>
      <c r="Y17" s="14"/>
      <c r="Z17" s="15">
        <f>SUM(Z10:Z16)</f>
        <v>48</v>
      </c>
      <c r="AA17" s="14"/>
      <c r="AB17" s="14"/>
      <c r="AC17" s="17">
        <f>SUM(AC10:AC14)</f>
        <v>48</v>
      </c>
      <c r="AD17" s="14"/>
      <c r="AE17" s="14"/>
      <c r="AF17" s="39">
        <f>SUM(AF10:AF16)</f>
        <v>48</v>
      </c>
    </row>
    <row r="18" spans="2:32" ht="15" hidden="1" customHeight="1" x14ac:dyDescent="0.25">
      <c r="B18" s="8">
        <v>45670</v>
      </c>
      <c r="C18" s="9">
        <v>0.75</v>
      </c>
      <c r="D18" s="9">
        <v>0</v>
      </c>
      <c r="E18" s="9"/>
      <c r="F18" s="9">
        <v>0.33333333333333331</v>
      </c>
      <c r="G18" s="9">
        <v>0.70833333333333337</v>
      </c>
      <c r="H18" s="10">
        <v>9</v>
      </c>
      <c r="I18" s="10"/>
      <c r="J18" s="10"/>
      <c r="K18" s="10"/>
      <c r="L18" s="9">
        <v>0.33333333333333331</v>
      </c>
      <c r="M18" s="9">
        <v>0.70833333333333337</v>
      </c>
      <c r="N18" s="10">
        <v>9</v>
      </c>
      <c r="O18" s="9">
        <v>0.33333333333333331</v>
      </c>
      <c r="P18" s="9">
        <v>0.75</v>
      </c>
      <c r="Q18" s="10">
        <v>10</v>
      </c>
      <c r="R18" s="9">
        <v>0.33333333333333331</v>
      </c>
      <c r="S18" s="9">
        <v>0.75</v>
      </c>
      <c r="T18" s="10">
        <v>10</v>
      </c>
      <c r="U18" s="76"/>
      <c r="V18" s="76"/>
      <c r="W18" s="76"/>
      <c r="X18" s="9">
        <v>0.33333333333333331</v>
      </c>
      <c r="Y18" s="9">
        <v>0.75</v>
      </c>
      <c r="Z18" s="10">
        <v>10</v>
      </c>
      <c r="AA18" s="9">
        <v>0.33333333333333331</v>
      </c>
      <c r="AB18" s="9">
        <v>0.70833333333333337</v>
      </c>
      <c r="AC18" s="7">
        <v>9</v>
      </c>
      <c r="AD18" s="9">
        <v>0.33333333333333331</v>
      </c>
      <c r="AE18" s="9">
        <v>0.73333333333333328</v>
      </c>
      <c r="AF18" s="38">
        <v>10</v>
      </c>
    </row>
    <row r="19" spans="2:32" ht="15" hidden="1" customHeight="1" x14ac:dyDescent="0.25">
      <c r="B19" s="8">
        <v>45671</v>
      </c>
      <c r="C19" s="9">
        <v>0.75</v>
      </c>
      <c r="D19" s="9">
        <v>0</v>
      </c>
      <c r="E19" s="9"/>
      <c r="F19" s="9">
        <v>0.33333333333333331</v>
      </c>
      <c r="G19" s="9">
        <v>0.70833333333333337</v>
      </c>
      <c r="H19" s="10">
        <v>9</v>
      </c>
      <c r="I19" s="10"/>
      <c r="J19" s="10"/>
      <c r="K19" s="10"/>
      <c r="L19" s="9">
        <v>0.33333333333333331</v>
      </c>
      <c r="M19" s="9">
        <v>0.70833333333333337</v>
      </c>
      <c r="N19" s="10">
        <v>9</v>
      </c>
      <c r="O19" s="9">
        <v>0.375</v>
      </c>
      <c r="P19" s="9">
        <v>0.75</v>
      </c>
      <c r="Q19" s="18">
        <v>9</v>
      </c>
      <c r="R19" s="9">
        <v>0.33333333333333331</v>
      </c>
      <c r="S19" s="9">
        <v>0.75</v>
      </c>
      <c r="T19" s="10">
        <v>10</v>
      </c>
      <c r="U19" s="76"/>
      <c r="V19" s="76"/>
      <c r="W19" s="76"/>
      <c r="X19" s="9">
        <v>0.375</v>
      </c>
      <c r="Y19" s="9">
        <v>0.75</v>
      </c>
      <c r="Z19" s="10">
        <v>9</v>
      </c>
      <c r="AA19" s="9">
        <v>0.33333333333333331</v>
      </c>
      <c r="AB19" s="9">
        <v>0.70833333333333337</v>
      </c>
      <c r="AC19" s="7">
        <v>9</v>
      </c>
      <c r="AD19" s="9">
        <v>0.33333333333333331</v>
      </c>
      <c r="AE19" s="9">
        <v>0.73333333333333328</v>
      </c>
      <c r="AF19" s="38">
        <v>9</v>
      </c>
    </row>
    <row r="20" spans="2:32" ht="15" hidden="1" customHeight="1" x14ac:dyDescent="0.25">
      <c r="B20" s="8">
        <v>45672</v>
      </c>
      <c r="C20" s="9">
        <v>0.75</v>
      </c>
      <c r="D20" s="9">
        <v>0</v>
      </c>
      <c r="E20" s="9"/>
      <c r="F20" s="9">
        <v>0.375</v>
      </c>
      <c r="G20" s="9">
        <v>0.70833333333333337</v>
      </c>
      <c r="H20" s="10">
        <v>8</v>
      </c>
      <c r="I20" s="10"/>
      <c r="J20" s="10"/>
      <c r="K20" s="10"/>
      <c r="L20" s="9">
        <v>0.375</v>
      </c>
      <c r="M20" s="9">
        <v>0.70833333333333337</v>
      </c>
      <c r="N20" s="10">
        <v>8</v>
      </c>
      <c r="O20" s="9">
        <v>0.33333333333333331</v>
      </c>
      <c r="P20" s="9">
        <v>0.75</v>
      </c>
      <c r="Q20" s="10">
        <v>10</v>
      </c>
      <c r="R20" s="9">
        <v>0.375</v>
      </c>
      <c r="S20" s="9">
        <v>0.75</v>
      </c>
      <c r="T20" s="10">
        <v>9</v>
      </c>
      <c r="U20" s="76"/>
      <c r="V20" s="76"/>
      <c r="W20" s="76"/>
      <c r="X20" s="9">
        <v>0.33333333333333331</v>
      </c>
      <c r="Y20" s="9">
        <v>0.75</v>
      </c>
      <c r="Z20" s="10">
        <v>10</v>
      </c>
      <c r="AA20" s="9">
        <v>0.33333333333333331</v>
      </c>
      <c r="AB20" s="9">
        <v>0.70833333333333337</v>
      </c>
      <c r="AC20" s="7">
        <v>9</v>
      </c>
      <c r="AD20" s="9">
        <v>0.33333333333333331</v>
      </c>
      <c r="AE20" s="9">
        <v>0.73333333333333328</v>
      </c>
      <c r="AF20" s="38">
        <v>10</v>
      </c>
    </row>
    <row r="21" spans="2:32" ht="15" hidden="1" customHeight="1" x14ac:dyDescent="0.25">
      <c r="B21" s="8">
        <v>45673</v>
      </c>
      <c r="C21" s="9">
        <v>0.75</v>
      </c>
      <c r="D21" s="9">
        <v>0</v>
      </c>
      <c r="E21" s="9"/>
      <c r="F21" s="9">
        <v>0.33333333333333331</v>
      </c>
      <c r="G21" s="9">
        <v>0.70833333333333337</v>
      </c>
      <c r="H21" s="10">
        <v>9</v>
      </c>
      <c r="I21" s="10"/>
      <c r="J21" s="10"/>
      <c r="K21" s="10"/>
      <c r="L21" s="9">
        <v>0.33333333333333331</v>
      </c>
      <c r="M21" s="9">
        <v>0.70833333333333337</v>
      </c>
      <c r="N21" s="10">
        <v>9</v>
      </c>
      <c r="O21" s="9">
        <v>0.375</v>
      </c>
      <c r="P21" s="9">
        <v>0.75</v>
      </c>
      <c r="Q21" s="10">
        <v>9</v>
      </c>
      <c r="R21" s="9">
        <v>0.33333333333333331</v>
      </c>
      <c r="S21" s="9">
        <v>0.75</v>
      </c>
      <c r="T21" s="10">
        <v>10</v>
      </c>
      <c r="U21" s="76"/>
      <c r="V21" s="76"/>
      <c r="W21" s="76"/>
      <c r="X21" s="9">
        <v>0.375</v>
      </c>
      <c r="Y21" s="9">
        <v>0.75</v>
      </c>
      <c r="Z21" s="10">
        <v>9</v>
      </c>
      <c r="AA21" s="9">
        <v>0.33333333333333331</v>
      </c>
      <c r="AB21" s="9">
        <v>0.70833333333333337</v>
      </c>
      <c r="AC21" s="7">
        <v>9</v>
      </c>
      <c r="AD21" s="9">
        <v>0.33333333333333331</v>
      </c>
      <c r="AE21" s="9">
        <v>0.73333333333333328</v>
      </c>
      <c r="AF21" s="38">
        <v>9</v>
      </c>
    </row>
    <row r="22" spans="2:32" ht="15" hidden="1" customHeight="1" x14ac:dyDescent="0.25">
      <c r="B22" s="8">
        <v>45674</v>
      </c>
      <c r="C22" s="9">
        <v>0.75</v>
      </c>
      <c r="D22" s="9">
        <v>0</v>
      </c>
      <c r="E22" s="9"/>
      <c r="F22" s="9">
        <v>0.375</v>
      </c>
      <c r="G22" s="9">
        <v>0.70833333333333337</v>
      </c>
      <c r="H22" s="10">
        <v>8</v>
      </c>
      <c r="I22" s="10"/>
      <c r="J22" s="10"/>
      <c r="K22" s="10"/>
      <c r="L22" s="9">
        <v>0.375</v>
      </c>
      <c r="M22" s="9">
        <v>0.70833333333333337</v>
      </c>
      <c r="N22" s="10">
        <v>8</v>
      </c>
      <c r="O22" s="9">
        <v>0.33333333333333331</v>
      </c>
      <c r="P22" s="9">
        <v>0.75</v>
      </c>
      <c r="Q22" s="10">
        <v>10</v>
      </c>
      <c r="R22" s="9">
        <v>0.375</v>
      </c>
      <c r="S22" s="9">
        <v>0.75</v>
      </c>
      <c r="T22" s="10">
        <v>9</v>
      </c>
      <c r="U22" s="76"/>
      <c r="V22" s="76"/>
      <c r="W22" s="76"/>
      <c r="X22" s="9">
        <v>0.33333333333333331</v>
      </c>
      <c r="Y22" s="9">
        <v>0.75</v>
      </c>
      <c r="Z22" s="10">
        <v>10</v>
      </c>
      <c r="AA22" s="9">
        <v>0.33333333333333331</v>
      </c>
      <c r="AB22" s="9">
        <v>0.66666666666666663</v>
      </c>
      <c r="AC22" s="7">
        <v>8</v>
      </c>
      <c r="AD22" s="9">
        <v>0.33333333333333331</v>
      </c>
      <c r="AE22" s="9">
        <v>0.73333333333333328</v>
      </c>
      <c r="AF22" s="38">
        <v>10</v>
      </c>
    </row>
    <row r="23" spans="2:32" ht="15" hidden="1" customHeight="1" x14ac:dyDescent="0.25">
      <c r="B23" s="8">
        <v>45675</v>
      </c>
      <c r="C23" s="9">
        <v>0.75</v>
      </c>
      <c r="D23" s="9">
        <v>0</v>
      </c>
      <c r="E23" s="9"/>
      <c r="F23" s="11">
        <v>0.54166666666666663</v>
      </c>
      <c r="G23" s="11">
        <v>0.75</v>
      </c>
      <c r="H23" s="12">
        <v>5</v>
      </c>
      <c r="I23" s="12"/>
      <c r="J23" s="12"/>
      <c r="K23" s="12"/>
      <c r="L23" s="11">
        <v>0.33333333333333331</v>
      </c>
      <c r="M23" s="11">
        <v>0.54166666666666663</v>
      </c>
      <c r="N23" s="12">
        <v>5</v>
      </c>
      <c r="O23" s="9"/>
      <c r="P23" s="9"/>
      <c r="Q23" s="10"/>
      <c r="R23" s="9"/>
      <c r="S23" s="9"/>
      <c r="T23" s="10"/>
      <c r="U23" s="76"/>
      <c r="V23" s="76"/>
      <c r="W23" s="76"/>
      <c r="X23" s="9"/>
      <c r="Y23" s="9"/>
      <c r="Z23" s="10"/>
      <c r="AD23" s="9"/>
      <c r="AE23" s="9"/>
      <c r="AF23" s="38"/>
    </row>
    <row r="24" spans="2:32" ht="15" hidden="1" customHeight="1" x14ac:dyDescent="0.25">
      <c r="B24" s="8">
        <v>45676</v>
      </c>
      <c r="C24" s="9"/>
      <c r="D24" s="9"/>
      <c r="E24" s="9"/>
      <c r="F24" s="9"/>
      <c r="G24" s="9"/>
      <c r="H24" s="10"/>
      <c r="I24" s="10"/>
      <c r="J24" s="10"/>
      <c r="K24" s="10"/>
      <c r="L24" s="9"/>
      <c r="M24" s="9"/>
      <c r="N24" s="10"/>
      <c r="O24" s="9"/>
      <c r="P24" s="9"/>
      <c r="Q24" s="10"/>
      <c r="R24" s="9"/>
      <c r="S24" s="9"/>
      <c r="T24" s="10"/>
      <c r="U24" s="76"/>
      <c r="V24" s="76"/>
      <c r="W24" s="76"/>
      <c r="X24" s="9"/>
      <c r="Y24" s="9"/>
      <c r="Z24" s="10"/>
      <c r="AA24" s="11">
        <v>0.33333333333333331</v>
      </c>
      <c r="AB24" s="11">
        <v>0.5</v>
      </c>
      <c r="AC24" s="19">
        <v>4</v>
      </c>
      <c r="AD24" s="9"/>
      <c r="AE24" s="9"/>
      <c r="AF24" s="38"/>
    </row>
    <row r="25" spans="2:32" s="2" customFormat="1" ht="15" hidden="1" customHeight="1" x14ac:dyDescent="0.25">
      <c r="B25" s="13"/>
      <c r="C25" s="14"/>
      <c r="D25" s="14"/>
      <c r="E25" s="14"/>
      <c r="F25" s="14"/>
      <c r="G25" s="14"/>
      <c r="H25" s="15">
        <f>SUM(H18:H24)</f>
        <v>48</v>
      </c>
      <c r="I25" s="15"/>
      <c r="J25" s="15"/>
      <c r="K25" s="15"/>
      <c r="L25" s="14"/>
      <c r="M25" s="14"/>
      <c r="N25" s="15">
        <f>SUM(N18:N24)</f>
        <v>48</v>
      </c>
      <c r="O25" s="14"/>
      <c r="P25" s="14"/>
      <c r="Q25" s="15">
        <f>SUM(Q18:Q24)</f>
        <v>48</v>
      </c>
      <c r="R25" s="14"/>
      <c r="S25" s="14"/>
      <c r="T25" s="15">
        <f>SUM(T18:T24)</f>
        <v>48</v>
      </c>
      <c r="U25" s="77"/>
      <c r="V25" s="77"/>
      <c r="W25" s="77"/>
      <c r="X25" s="14"/>
      <c r="Y25" s="14"/>
      <c r="Z25" s="15">
        <f>SUM(Z18:Z24)</f>
        <v>48</v>
      </c>
      <c r="AA25" s="14"/>
      <c r="AB25" s="14"/>
      <c r="AC25" s="17">
        <f>SUM(AC18:AC24)</f>
        <v>48</v>
      </c>
      <c r="AD25" s="14"/>
      <c r="AE25" s="14"/>
      <c r="AF25" s="39">
        <f>SUM(AF18:AF24)</f>
        <v>48</v>
      </c>
    </row>
    <row r="26" spans="2:32" ht="15" hidden="1" customHeight="1" x14ac:dyDescent="0.25">
      <c r="B26" s="8">
        <v>45677</v>
      </c>
      <c r="C26" s="9">
        <v>0.75</v>
      </c>
      <c r="D26" s="9">
        <v>0</v>
      </c>
      <c r="E26" s="9"/>
      <c r="F26" s="9">
        <v>0.33333333333333331</v>
      </c>
      <c r="G26" s="9">
        <v>0.75</v>
      </c>
      <c r="H26" s="10">
        <v>10</v>
      </c>
      <c r="I26" s="10"/>
      <c r="J26" s="10"/>
      <c r="K26" s="10"/>
      <c r="L26" s="9">
        <v>0.33333333333333331</v>
      </c>
      <c r="M26" s="9">
        <v>0.75</v>
      </c>
      <c r="N26" s="10">
        <v>10</v>
      </c>
      <c r="O26" s="9">
        <v>0.33333333333333331</v>
      </c>
      <c r="P26" s="9">
        <v>0.66666666666666663</v>
      </c>
      <c r="Q26" s="10">
        <v>8</v>
      </c>
      <c r="R26" s="9">
        <v>0.33333333333333331</v>
      </c>
      <c r="S26" s="9">
        <v>0.70833333333333337</v>
      </c>
      <c r="T26" s="10">
        <v>9</v>
      </c>
      <c r="U26" s="76"/>
      <c r="V26" s="76"/>
      <c r="W26" s="76"/>
      <c r="X26" s="9">
        <v>0.33333333333333331</v>
      </c>
      <c r="Y26" s="9">
        <v>0.75</v>
      </c>
      <c r="Z26" s="10">
        <v>10</v>
      </c>
      <c r="AA26" s="9">
        <v>0.33333333333333331</v>
      </c>
      <c r="AB26" s="9">
        <v>0.75</v>
      </c>
      <c r="AC26" s="7">
        <v>10</v>
      </c>
      <c r="AD26" s="9">
        <v>0.33333333333333331</v>
      </c>
      <c r="AE26" s="9">
        <v>0.73333333333333328</v>
      </c>
      <c r="AF26" s="38">
        <v>9</v>
      </c>
    </row>
    <row r="27" spans="2:32" ht="15" hidden="1" customHeight="1" x14ac:dyDescent="0.25">
      <c r="B27" s="8">
        <v>45678</v>
      </c>
      <c r="C27" s="9">
        <v>0.75</v>
      </c>
      <c r="D27" s="9">
        <v>0</v>
      </c>
      <c r="E27" s="9"/>
      <c r="F27" s="9">
        <v>0.33333333333333331</v>
      </c>
      <c r="G27" s="9">
        <v>0.75</v>
      </c>
      <c r="H27" s="10">
        <v>10</v>
      </c>
      <c r="I27" s="10"/>
      <c r="J27" s="10"/>
      <c r="K27" s="10"/>
      <c r="L27" s="9">
        <v>0.33333333333333331</v>
      </c>
      <c r="M27" s="9">
        <v>0.75</v>
      </c>
      <c r="N27" s="10">
        <v>10</v>
      </c>
      <c r="O27" s="9">
        <v>0.33333333333333331</v>
      </c>
      <c r="P27" s="9">
        <v>0.66666666666666663</v>
      </c>
      <c r="Q27" s="10">
        <v>8</v>
      </c>
      <c r="R27" s="9">
        <v>0.33333333333333331</v>
      </c>
      <c r="S27" s="9">
        <v>0.70833333333333337</v>
      </c>
      <c r="T27" s="10">
        <v>9</v>
      </c>
      <c r="U27" s="76"/>
      <c r="V27" s="76"/>
      <c r="W27" s="76"/>
      <c r="X27" s="9">
        <v>0.375</v>
      </c>
      <c r="Y27" s="9">
        <v>0.75</v>
      </c>
      <c r="Z27" s="10">
        <v>9</v>
      </c>
      <c r="AA27" s="9">
        <v>0.33333333333333331</v>
      </c>
      <c r="AB27" s="9">
        <v>0.75</v>
      </c>
      <c r="AC27" s="7">
        <v>10</v>
      </c>
      <c r="AD27" s="9">
        <v>0.33333333333333331</v>
      </c>
      <c r="AE27" s="9">
        <v>0.73333333333333328</v>
      </c>
      <c r="AF27" s="38">
        <v>8</v>
      </c>
    </row>
    <row r="28" spans="2:32" ht="15" hidden="1" customHeight="1" x14ac:dyDescent="0.25">
      <c r="B28" s="8">
        <v>45679</v>
      </c>
      <c r="C28" s="9">
        <v>0.75</v>
      </c>
      <c r="D28" s="9">
        <v>0</v>
      </c>
      <c r="E28" s="9"/>
      <c r="F28" s="9">
        <v>0.375</v>
      </c>
      <c r="G28" s="9">
        <v>0.75</v>
      </c>
      <c r="H28" s="10">
        <v>9</v>
      </c>
      <c r="I28" s="10"/>
      <c r="J28" s="10"/>
      <c r="K28" s="10"/>
      <c r="L28" s="9">
        <v>0.29166666666666669</v>
      </c>
      <c r="M28" s="9">
        <v>0.70833333333333337</v>
      </c>
      <c r="N28" s="10">
        <v>10</v>
      </c>
      <c r="O28" s="9">
        <v>0.375</v>
      </c>
      <c r="P28" s="9">
        <v>0.75</v>
      </c>
      <c r="Q28" s="10">
        <v>9</v>
      </c>
      <c r="R28" s="9">
        <v>0.375</v>
      </c>
      <c r="S28" s="9">
        <v>0.70833333333333337</v>
      </c>
      <c r="T28" s="10">
        <v>8</v>
      </c>
      <c r="U28" s="76"/>
      <c r="V28" s="76"/>
      <c r="W28" s="76"/>
      <c r="X28" s="9">
        <v>0.33333333333333331</v>
      </c>
      <c r="Y28" s="9">
        <v>0.75</v>
      </c>
      <c r="Z28" s="10">
        <v>10</v>
      </c>
      <c r="AA28" s="9">
        <v>0.33333333333333331</v>
      </c>
      <c r="AB28" s="9">
        <v>0.75</v>
      </c>
      <c r="AC28" s="7">
        <v>10</v>
      </c>
      <c r="AD28" s="9">
        <v>0.33333333333333331</v>
      </c>
      <c r="AE28" s="9">
        <v>0.73333333333333328</v>
      </c>
      <c r="AF28" s="38">
        <v>9</v>
      </c>
    </row>
    <row r="29" spans="2:32" ht="15" hidden="1" customHeight="1" x14ac:dyDescent="0.25">
      <c r="B29" s="8">
        <v>45680</v>
      </c>
      <c r="C29" s="9">
        <v>0.75</v>
      </c>
      <c r="D29" s="9">
        <v>0</v>
      </c>
      <c r="E29" s="9"/>
      <c r="F29" s="9">
        <v>0.33333333333333331</v>
      </c>
      <c r="G29" s="9">
        <v>0.75</v>
      </c>
      <c r="H29" s="10">
        <v>10</v>
      </c>
      <c r="I29" s="10"/>
      <c r="J29" s="10"/>
      <c r="K29" s="10"/>
      <c r="L29" s="9">
        <v>0.29166666666666669</v>
      </c>
      <c r="M29" s="9">
        <v>0.70833333333333337</v>
      </c>
      <c r="N29" s="10">
        <v>10</v>
      </c>
      <c r="O29" s="9">
        <v>0.375</v>
      </c>
      <c r="P29" s="9">
        <v>0.75</v>
      </c>
      <c r="Q29" s="10">
        <v>9</v>
      </c>
      <c r="R29" s="9">
        <v>0.33333333333333331</v>
      </c>
      <c r="S29" s="9">
        <v>0.70833333333333337</v>
      </c>
      <c r="T29" s="10">
        <v>9</v>
      </c>
      <c r="U29" s="76"/>
      <c r="V29" s="76"/>
      <c r="W29" s="76"/>
      <c r="X29" s="9">
        <v>0.375</v>
      </c>
      <c r="Y29" s="9">
        <v>0.75</v>
      </c>
      <c r="Z29" s="10">
        <v>9</v>
      </c>
      <c r="AA29" s="9">
        <v>0.33333333333333331</v>
      </c>
      <c r="AB29" s="9">
        <v>0.70833333333333337</v>
      </c>
      <c r="AC29" s="7">
        <v>9</v>
      </c>
      <c r="AD29" s="9">
        <v>0.33333333333333331</v>
      </c>
      <c r="AE29" s="9">
        <v>0.73333333333333328</v>
      </c>
      <c r="AF29" s="38">
        <v>8</v>
      </c>
    </row>
    <row r="30" spans="2:32" ht="15" hidden="1" customHeight="1" x14ac:dyDescent="0.25">
      <c r="B30" s="8">
        <v>45681</v>
      </c>
      <c r="C30" s="9">
        <v>0.75</v>
      </c>
      <c r="D30" s="9">
        <v>0</v>
      </c>
      <c r="E30" s="9"/>
      <c r="F30" s="9">
        <v>0.375</v>
      </c>
      <c r="G30" s="9">
        <v>0.75</v>
      </c>
      <c r="H30" s="10">
        <v>9</v>
      </c>
      <c r="I30" s="10"/>
      <c r="J30" s="10"/>
      <c r="K30" s="10"/>
      <c r="L30" s="9">
        <v>0.33333333333333331</v>
      </c>
      <c r="M30" s="9">
        <v>0.66666666666666663</v>
      </c>
      <c r="N30" s="10">
        <v>8</v>
      </c>
      <c r="O30" s="9">
        <v>0.33333333333333331</v>
      </c>
      <c r="P30" s="9">
        <v>0.75</v>
      </c>
      <c r="Q30" s="10">
        <v>10</v>
      </c>
      <c r="R30" s="9">
        <v>0.375</v>
      </c>
      <c r="S30" s="9">
        <v>0.70833333333333337</v>
      </c>
      <c r="T30" s="10">
        <v>8</v>
      </c>
      <c r="U30" s="76"/>
      <c r="V30" s="76"/>
      <c r="W30" s="76"/>
      <c r="X30" s="9">
        <v>0.33333333333333331</v>
      </c>
      <c r="Y30" s="9">
        <v>0.75</v>
      </c>
      <c r="Z30" s="10">
        <v>10</v>
      </c>
      <c r="AA30" s="9">
        <v>0.33333333333333331</v>
      </c>
      <c r="AB30" s="9">
        <v>0.70833333333333337</v>
      </c>
      <c r="AC30" s="7">
        <v>9</v>
      </c>
      <c r="AD30" s="9">
        <v>0.33333333333333331</v>
      </c>
      <c r="AE30" s="9">
        <v>0.73333333333333328</v>
      </c>
      <c r="AF30" s="38">
        <v>9</v>
      </c>
    </row>
    <row r="31" spans="2:32" ht="15.75" hidden="1" customHeight="1" x14ac:dyDescent="0.25">
      <c r="B31" s="8">
        <v>45682</v>
      </c>
      <c r="C31" s="9">
        <v>0.75</v>
      </c>
      <c r="D31" s="9">
        <v>0</v>
      </c>
      <c r="E31" s="9"/>
      <c r="F31" s="9"/>
      <c r="G31" s="9"/>
      <c r="H31" s="10"/>
      <c r="I31" s="10"/>
      <c r="J31" s="10"/>
      <c r="K31" s="10"/>
      <c r="L31" s="9"/>
      <c r="M31" s="9"/>
      <c r="N31" s="10"/>
      <c r="O31" s="4"/>
      <c r="P31" s="4"/>
      <c r="Q31" s="7"/>
      <c r="R31" s="11">
        <v>0.33333333333333331</v>
      </c>
      <c r="S31" s="11">
        <v>0.54166666666666663</v>
      </c>
      <c r="T31" s="10">
        <v>5</v>
      </c>
      <c r="U31" s="76"/>
      <c r="V31" s="76"/>
      <c r="W31" s="76"/>
      <c r="X31" s="9"/>
      <c r="Y31" s="9"/>
      <c r="Z31" s="10"/>
      <c r="AA31" s="9"/>
      <c r="AB31" s="9"/>
      <c r="AC31" s="7"/>
      <c r="AD31" s="9"/>
      <c r="AE31" s="9"/>
      <c r="AF31" s="38">
        <v>5</v>
      </c>
    </row>
    <row r="32" spans="2:32" ht="15" hidden="1" customHeight="1" x14ac:dyDescent="0.25">
      <c r="B32" s="8">
        <v>45683</v>
      </c>
      <c r="C32" s="9"/>
      <c r="D32" s="9"/>
      <c r="E32" s="9"/>
      <c r="F32" s="9"/>
      <c r="G32" s="9"/>
      <c r="H32" s="10"/>
      <c r="I32" s="10"/>
      <c r="J32" s="10"/>
      <c r="K32" s="10"/>
      <c r="L32" s="9"/>
      <c r="M32" s="9"/>
      <c r="N32" s="10"/>
      <c r="O32" s="11">
        <v>0.33333333333333331</v>
      </c>
      <c r="P32" s="11">
        <v>0.5</v>
      </c>
      <c r="Q32" s="12">
        <v>4</v>
      </c>
      <c r="R32" s="9"/>
      <c r="S32" s="9"/>
      <c r="T32" s="10"/>
      <c r="U32" s="76"/>
      <c r="V32" s="76"/>
      <c r="W32" s="76"/>
      <c r="X32" s="9"/>
      <c r="Y32" s="9"/>
      <c r="Z32" s="10"/>
      <c r="AA32" s="9"/>
      <c r="AB32" s="9"/>
      <c r="AC32" s="7"/>
      <c r="AD32" s="9"/>
      <c r="AE32" s="9"/>
      <c r="AF32" s="38"/>
    </row>
    <row r="33" spans="2:32" s="2" customFormat="1" ht="15" hidden="1" customHeight="1" x14ac:dyDescent="0.25">
      <c r="B33" s="13"/>
      <c r="C33" s="14"/>
      <c r="D33" s="14"/>
      <c r="E33" s="14"/>
      <c r="F33" s="14"/>
      <c r="G33" s="14"/>
      <c r="H33" s="15">
        <f>SUM(H26:H32)</f>
        <v>48</v>
      </c>
      <c r="I33" s="15"/>
      <c r="J33" s="15"/>
      <c r="K33" s="15"/>
      <c r="L33" s="14"/>
      <c r="M33" s="14"/>
      <c r="N33" s="15">
        <f>SUM(N26:N32)</f>
        <v>48</v>
      </c>
      <c r="O33" s="14"/>
      <c r="P33" s="14"/>
      <c r="Q33" s="15">
        <f>SUM(Q26:Q32)</f>
        <v>48</v>
      </c>
      <c r="R33" s="14"/>
      <c r="S33" s="14"/>
      <c r="T33" s="15">
        <f>SUM(T26:T32)</f>
        <v>48</v>
      </c>
      <c r="U33" s="77"/>
      <c r="V33" s="77"/>
      <c r="W33" s="77"/>
      <c r="X33" s="14"/>
      <c r="Y33" s="14"/>
      <c r="Z33" s="15">
        <f>SUM(Z26:Z32)</f>
        <v>48</v>
      </c>
      <c r="AA33" s="14"/>
      <c r="AB33" s="14"/>
      <c r="AC33" s="17">
        <f>SUM(AC26:AC32)</f>
        <v>48</v>
      </c>
      <c r="AD33" s="14"/>
      <c r="AE33" s="14"/>
      <c r="AF33" s="39">
        <f>SUM(AF26:AF32)</f>
        <v>48</v>
      </c>
    </row>
    <row r="34" spans="2:32" ht="15" hidden="1" customHeight="1" x14ac:dyDescent="0.25">
      <c r="B34" s="8">
        <v>45684</v>
      </c>
      <c r="C34" s="9">
        <v>0.75</v>
      </c>
      <c r="D34" s="9">
        <v>0</v>
      </c>
      <c r="E34" s="9"/>
      <c r="F34" s="9">
        <v>0.33333333333333331</v>
      </c>
      <c r="G34" s="9">
        <v>0.70833333333333337</v>
      </c>
      <c r="H34" s="10">
        <v>9</v>
      </c>
      <c r="I34" s="10"/>
      <c r="J34" s="10"/>
      <c r="K34" s="10"/>
      <c r="L34" s="9">
        <v>0.33333333333333331</v>
      </c>
      <c r="M34" s="9">
        <v>0.66666666666666663</v>
      </c>
      <c r="N34" s="10">
        <v>8</v>
      </c>
      <c r="O34" s="9">
        <v>0.33333333333333331</v>
      </c>
      <c r="P34" s="9">
        <v>0.75</v>
      </c>
      <c r="Q34" s="10">
        <v>10</v>
      </c>
      <c r="R34" s="9">
        <v>0.33333333333333331</v>
      </c>
      <c r="S34" s="9">
        <v>0.75</v>
      </c>
      <c r="T34" s="10">
        <v>10</v>
      </c>
      <c r="U34" s="76"/>
      <c r="V34" s="76"/>
      <c r="W34" s="76"/>
      <c r="X34" s="9">
        <v>0.33333333333333331</v>
      </c>
      <c r="Y34" s="9">
        <v>0.70833333333333337</v>
      </c>
      <c r="Z34" s="10">
        <v>9</v>
      </c>
      <c r="AA34" s="9">
        <v>0.33333333333333331</v>
      </c>
      <c r="AB34" s="9">
        <v>0.70833333333333337</v>
      </c>
      <c r="AC34" s="7">
        <v>9</v>
      </c>
      <c r="AD34" s="9">
        <v>0.33333333333333331</v>
      </c>
      <c r="AE34" s="9">
        <v>0.73333333333333328</v>
      </c>
      <c r="AF34" s="38">
        <v>10</v>
      </c>
    </row>
    <row r="35" spans="2:32" ht="15" hidden="1" customHeight="1" x14ac:dyDescent="0.25">
      <c r="B35" s="8">
        <v>45685</v>
      </c>
      <c r="C35" s="9">
        <v>0.75</v>
      </c>
      <c r="D35" s="9">
        <v>0</v>
      </c>
      <c r="E35" s="9"/>
      <c r="F35" s="9">
        <v>0.33333333333333331</v>
      </c>
      <c r="G35" s="9">
        <v>0.70833333333333337</v>
      </c>
      <c r="H35" s="10">
        <v>9</v>
      </c>
      <c r="I35" s="10"/>
      <c r="J35" s="10"/>
      <c r="K35" s="10"/>
      <c r="L35" s="9">
        <v>0.33333333333333331</v>
      </c>
      <c r="M35" s="9">
        <v>0.66666666666666663</v>
      </c>
      <c r="N35" s="10">
        <v>8</v>
      </c>
      <c r="O35" s="9">
        <v>0.375</v>
      </c>
      <c r="P35" s="9">
        <v>0.75</v>
      </c>
      <c r="Q35" s="10">
        <v>9</v>
      </c>
      <c r="R35" s="9">
        <v>0.33333333333333331</v>
      </c>
      <c r="S35" s="9">
        <v>0.75</v>
      </c>
      <c r="T35" s="10">
        <v>10</v>
      </c>
      <c r="U35" s="76"/>
      <c r="V35" s="76"/>
      <c r="W35" s="76"/>
      <c r="X35" s="9">
        <v>0.375</v>
      </c>
      <c r="Y35" s="9">
        <v>0.70833333333333337</v>
      </c>
      <c r="Z35" s="10">
        <v>8</v>
      </c>
      <c r="AA35" s="9">
        <v>0.33333333333333331</v>
      </c>
      <c r="AB35" s="9">
        <v>0.70833333333333337</v>
      </c>
      <c r="AC35" s="7">
        <v>9</v>
      </c>
      <c r="AD35" s="9">
        <v>0.33333333333333331</v>
      </c>
      <c r="AE35" s="9">
        <v>0.73333333333333328</v>
      </c>
      <c r="AF35" s="38">
        <v>9</v>
      </c>
    </row>
    <row r="36" spans="2:32" ht="15" hidden="1" customHeight="1" x14ac:dyDescent="0.25">
      <c r="B36" s="8">
        <v>45686</v>
      </c>
      <c r="C36" s="9">
        <v>0.75</v>
      </c>
      <c r="D36" s="9">
        <v>0</v>
      </c>
      <c r="E36" s="9"/>
      <c r="F36" s="9">
        <v>0.375</v>
      </c>
      <c r="G36" s="9">
        <v>0.70833333333333337</v>
      </c>
      <c r="H36" s="10">
        <v>8</v>
      </c>
      <c r="I36" s="10"/>
      <c r="J36" s="10"/>
      <c r="K36" s="10"/>
      <c r="L36" s="9">
        <v>0.33333333333333331</v>
      </c>
      <c r="M36" s="9">
        <v>0.66666666666666663</v>
      </c>
      <c r="N36" s="10">
        <v>8</v>
      </c>
      <c r="O36" s="9">
        <v>0.33333333333333331</v>
      </c>
      <c r="P36" s="9">
        <v>0.75</v>
      </c>
      <c r="Q36" s="10">
        <v>10</v>
      </c>
      <c r="R36" s="9">
        <v>0.375</v>
      </c>
      <c r="S36" s="9">
        <v>0.75</v>
      </c>
      <c r="T36" s="10">
        <v>9</v>
      </c>
      <c r="U36" s="76"/>
      <c r="V36" s="76"/>
      <c r="W36" s="76"/>
      <c r="X36" s="9">
        <v>0.33333333333333331</v>
      </c>
      <c r="Y36" s="9">
        <v>0.70833333333333337</v>
      </c>
      <c r="Z36" s="10">
        <v>9</v>
      </c>
      <c r="AA36" s="9">
        <v>0.33333333333333331</v>
      </c>
      <c r="AB36" s="9">
        <v>0.70833333333333337</v>
      </c>
      <c r="AC36" s="7">
        <v>9</v>
      </c>
      <c r="AD36" s="9">
        <v>0.33333333333333331</v>
      </c>
      <c r="AE36" s="9">
        <v>0.73333333333333328</v>
      </c>
      <c r="AF36" s="38">
        <v>10</v>
      </c>
    </row>
    <row r="37" spans="2:32" ht="15" hidden="1" customHeight="1" x14ac:dyDescent="0.25">
      <c r="B37" s="8">
        <v>45687</v>
      </c>
      <c r="C37" s="9">
        <v>0.75</v>
      </c>
      <c r="D37" s="9">
        <v>0</v>
      </c>
      <c r="E37" s="9"/>
      <c r="F37" s="9">
        <v>0.33333333333333331</v>
      </c>
      <c r="G37" s="9">
        <v>0.70833333333333337</v>
      </c>
      <c r="H37" s="10">
        <v>9</v>
      </c>
      <c r="I37" s="10"/>
      <c r="J37" s="10"/>
      <c r="K37" s="10"/>
      <c r="L37" s="9">
        <v>0.33333333333333331</v>
      </c>
      <c r="M37" s="9">
        <v>0.66666666666666663</v>
      </c>
      <c r="N37" s="10">
        <v>8</v>
      </c>
      <c r="O37" s="9">
        <v>0.375</v>
      </c>
      <c r="P37" s="9">
        <v>0.75</v>
      </c>
      <c r="Q37" s="10">
        <v>9</v>
      </c>
      <c r="R37" s="9">
        <v>0.33333333333333331</v>
      </c>
      <c r="S37" s="9">
        <v>0.75</v>
      </c>
      <c r="T37" s="10">
        <v>10</v>
      </c>
      <c r="U37" s="76"/>
      <c r="V37" s="76"/>
      <c r="W37" s="76"/>
      <c r="X37" s="9">
        <v>0.375</v>
      </c>
      <c r="Y37" s="9">
        <v>0.70833333333333337</v>
      </c>
      <c r="Z37" s="10">
        <v>8</v>
      </c>
      <c r="AA37" s="9">
        <v>0.33333333333333331</v>
      </c>
      <c r="AB37" s="9">
        <v>0.70833333333333337</v>
      </c>
      <c r="AC37" s="7">
        <v>9</v>
      </c>
      <c r="AD37" s="9">
        <v>0.33333333333333331</v>
      </c>
      <c r="AE37" s="9">
        <v>0.73333333333333328</v>
      </c>
      <c r="AF37" s="38">
        <v>9</v>
      </c>
    </row>
    <row r="38" spans="2:32" ht="15" hidden="1" customHeight="1" x14ac:dyDescent="0.25">
      <c r="B38" s="8">
        <v>45688</v>
      </c>
      <c r="C38" s="9">
        <v>0.75</v>
      </c>
      <c r="D38" s="9">
        <v>0</v>
      </c>
      <c r="E38" s="9"/>
      <c r="F38" s="9">
        <v>0.375</v>
      </c>
      <c r="G38" s="9">
        <v>0.70833333333333337</v>
      </c>
      <c r="H38" s="10">
        <v>8</v>
      </c>
      <c r="I38" s="10"/>
      <c r="J38" s="10"/>
      <c r="K38" s="10"/>
      <c r="L38" s="9">
        <v>0.33333333333333331</v>
      </c>
      <c r="M38" s="9">
        <v>0.66666666666666663</v>
      </c>
      <c r="N38" s="10">
        <v>8</v>
      </c>
      <c r="O38" s="9">
        <v>0.33333333333333331</v>
      </c>
      <c r="P38" s="9">
        <v>0.75</v>
      </c>
      <c r="Q38" s="10">
        <v>10</v>
      </c>
      <c r="R38" s="9">
        <v>0.375</v>
      </c>
      <c r="S38" s="9">
        <v>0.75</v>
      </c>
      <c r="T38" s="10">
        <v>9</v>
      </c>
      <c r="U38" s="76"/>
      <c r="V38" s="76"/>
      <c r="W38" s="76"/>
      <c r="X38" s="9">
        <v>0.33333333333333331</v>
      </c>
      <c r="Y38" s="9">
        <v>0.70833333333333337</v>
      </c>
      <c r="Z38" s="10">
        <v>9</v>
      </c>
      <c r="AA38" s="9">
        <v>0.33333333333333331</v>
      </c>
      <c r="AB38" s="9">
        <v>0.66666666666666663</v>
      </c>
      <c r="AC38" s="7">
        <v>8</v>
      </c>
      <c r="AD38" s="9">
        <v>0.33333333333333331</v>
      </c>
      <c r="AE38" s="9">
        <v>0.73333333333333328</v>
      </c>
      <c r="AF38" s="38">
        <v>10</v>
      </c>
    </row>
    <row r="39" spans="2:32" ht="15" hidden="1" customHeight="1" x14ac:dyDescent="0.25">
      <c r="B39" s="8">
        <v>45689</v>
      </c>
      <c r="C39" s="8"/>
      <c r="D39" s="8"/>
      <c r="E39" s="8"/>
      <c r="F39" s="11">
        <v>0.54166666666666663</v>
      </c>
      <c r="G39" s="11">
        <v>0.75</v>
      </c>
      <c r="H39" s="10">
        <v>5</v>
      </c>
      <c r="I39" s="10"/>
      <c r="J39" s="10"/>
      <c r="K39" s="10"/>
      <c r="L39" s="11">
        <v>0.33333333333333331</v>
      </c>
      <c r="M39" s="9">
        <v>0.66666666666666663</v>
      </c>
      <c r="N39" s="10">
        <v>8</v>
      </c>
      <c r="O39" s="8"/>
      <c r="P39" s="8"/>
      <c r="Q39" s="8"/>
      <c r="R39" s="4"/>
      <c r="S39" s="4"/>
      <c r="T39" s="7"/>
      <c r="U39" s="79"/>
      <c r="V39" s="79"/>
      <c r="W39" s="79"/>
      <c r="X39" s="11">
        <v>0.33333333333333331</v>
      </c>
      <c r="Y39" s="11">
        <v>0.54166666666666663</v>
      </c>
      <c r="Z39" s="10">
        <v>5</v>
      </c>
      <c r="AA39" s="4"/>
      <c r="AB39" s="4"/>
      <c r="AC39" s="7"/>
      <c r="AD39" s="4"/>
      <c r="AE39" s="4"/>
      <c r="AF39" s="40"/>
    </row>
    <row r="40" spans="2:32" ht="15" hidden="1" customHeight="1" x14ac:dyDescent="0.25">
      <c r="B40" s="8">
        <v>45690</v>
      </c>
      <c r="C40" s="4"/>
      <c r="D40" s="4"/>
      <c r="E40" s="4"/>
      <c r="F40" s="4"/>
      <c r="G40" s="4"/>
      <c r="H40" s="7"/>
      <c r="I40" s="7"/>
      <c r="J40" s="7"/>
      <c r="K40" s="7"/>
      <c r="L40" s="4"/>
      <c r="M40" s="4"/>
      <c r="N40" s="7"/>
      <c r="O40" s="4"/>
      <c r="P40" s="4"/>
      <c r="Q40" s="10"/>
      <c r="R40" s="4"/>
      <c r="S40" s="4"/>
      <c r="T40" s="7"/>
      <c r="U40" s="79"/>
      <c r="V40" s="79"/>
      <c r="W40" s="79"/>
      <c r="X40" s="4"/>
      <c r="Y40" s="4"/>
      <c r="Z40" s="7"/>
      <c r="AA40" s="11">
        <v>0.33333333333333331</v>
      </c>
      <c r="AB40" s="11">
        <v>0.5</v>
      </c>
      <c r="AC40" s="7">
        <v>4</v>
      </c>
      <c r="AD40" s="4"/>
      <c r="AE40" s="4"/>
      <c r="AF40" s="40"/>
    </row>
    <row r="41" spans="2:32" s="2" customFormat="1" ht="15" hidden="1" customHeight="1" x14ac:dyDescent="0.25">
      <c r="B41" s="20"/>
      <c r="C41" s="20"/>
      <c r="D41" s="20"/>
      <c r="E41" s="20"/>
      <c r="F41" s="20"/>
      <c r="G41" s="20"/>
      <c r="H41" s="17">
        <f>SUM(H34:H40)</f>
        <v>48</v>
      </c>
      <c r="I41" s="17"/>
      <c r="J41" s="17"/>
      <c r="K41" s="17"/>
      <c r="L41" s="20"/>
      <c r="M41" s="20"/>
      <c r="N41" s="17">
        <f>SUM(N34:N40)</f>
        <v>48</v>
      </c>
      <c r="O41" s="20"/>
      <c r="P41" s="20"/>
      <c r="Q41" s="15">
        <f>SUM(Q34:Q40)</f>
        <v>48</v>
      </c>
      <c r="R41" s="20"/>
      <c r="S41" s="20"/>
      <c r="T41" s="17">
        <f>SUM(T34:T39)</f>
        <v>48</v>
      </c>
      <c r="U41" s="80"/>
      <c r="V41" s="80"/>
      <c r="W41" s="80"/>
      <c r="X41" s="20"/>
      <c r="Y41" s="20"/>
      <c r="Z41" s="17">
        <f>SUM(Z34:Z40)</f>
        <v>48</v>
      </c>
      <c r="AA41" s="20"/>
      <c r="AB41" s="20"/>
      <c r="AC41" s="17">
        <f>SUM(AC34:AC40)</f>
        <v>48</v>
      </c>
      <c r="AD41" s="20"/>
      <c r="AE41" s="20"/>
      <c r="AF41" s="41">
        <f>SUM(AF34:AF40)</f>
        <v>48</v>
      </c>
    </row>
    <row r="42" spans="2:32" ht="15" hidden="1" customHeight="1" x14ac:dyDescent="0.25">
      <c r="U42" s="81"/>
      <c r="V42" s="81"/>
      <c r="W42" s="81"/>
    </row>
    <row r="43" spans="2:32" ht="15" hidden="1" customHeight="1" x14ac:dyDescent="0.25">
      <c r="U43" s="81"/>
      <c r="V43" s="81"/>
      <c r="W43" s="81"/>
    </row>
    <row r="44" spans="2:32" ht="3" customHeight="1" x14ac:dyDescent="0.25">
      <c r="U44" s="81"/>
      <c r="V44" s="81"/>
      <c r="W44" s="81"/>
    </row>
    <row r="45" spans="2:32" ht="16.5" customHeight="1" x14ac:dyDescent="0.25">
      <c r="B45" s="4" t="s">
        <v>0</v>
      </c>
      <c r="C45" s="113" t="s">
        <v>3</v>
      </c>
      <c r="D45" s="113"/>
      <c r="E45" s="5"/>
      <c r="F45" s="113" t="s">
        <v>8</v>
      </c>
      <c r="G45" s="113"/>
      <c r="H45" s="6"/>
      <c r="I45" s="115" t="s">
        <v>74</v>
      </c>
      <c r="J45" s="115"/>
      <c r="K45" s="98"/>
      <c r="L45" s="113" t="s">
        <v>7</v>
      </c>
      <c r="M45" s="113"/>
      <c r="N45" s="6"/>
      <c r="O45" s="113" t="s">
        <v>2</v>
      </c>
      <c r="P45" s="113"/>
      <c r="Q45" s="6"/>
      <c r="R45" s="113" t="s">
        <v>4</v>
      </c>
      <c r="S45" s="113"/>
      <c r="T45" s="6"/>
      <c r="U45" s="114" t="s">
        <v>63</v>
      </c>
      <c r="V45" s="114"/>
      <c r="W45" s="6"/>
      <c r="X45" s="113" t="s">
        <v>44</v>
      </c>
      <c r="Y45" s="113"/>
      <c r="Z45" s="6"/>
      <c r="AA45" s="113" t="s">
        <v>10</v>
      </c>
      <c r="AB45" s="113"/>
      <c r="AC45" s="7"/>
      <c r="AD45" s="113" t="s">
        <v>6</v>
      </c>
      <c r="AE45" s="113"/>
      <c r="AF45" s="37"/>
    </row>
    <row r="46" spans="2:32" ht="13.5" hidden="1" customHeight="1" x14ac:dyDescent="0.25">
      <c r="B46" s="8">
        <v>46048</v>
      </c>
      <c r="C46" s="22">
        <v>0.75</v>
      </c>
      <c r="D46" s="22">
        <v>0</v>
      </c>
      <c r="E46" s="10">
        <v>6</v>
      </c>
      <c r="F46" s="9">
        <v>0.33333333333333331</v>
      </c>
      <c r="G46" s="9">
        <v>0.66666666666666663</v>
      </c>
      <c r="H46" s="10">
        <v>8</v>
      </c>
      <c r="I46" s="10"/>
      <c r="J46" s="10"/>
      <c r="K46" s="10"/>
      <c r="L46" s="9">
        <v>0.375</v>
      </c>
      <c r="M46" s="9">
        <v>0.75</v>
      </c>
      <c r="N46" s="10">
        <v>9</v>
      </c>
      <c r="O46" s="85">
        <v>0.33333333333333331</v>
      </c>
      <c r="P46" s="85">
        <v>0.66666666666666663</v>
      </c>
      <c r="Q46" s="86">
        <v>8</v>
      </c>
      <c r="R46" s="9">
        <v>0.375</v>
      </c>
      <c r="S46" s="9">
        <v>0.75</v>
      </c>
      <c r="T46" s="10">
        <v>9</v>
      </c>
      <c r="U46" s="9">
        <v>0.29166666666666669</v>
      </c>
      <c r="V46" s="9">
        <v>0.66666666666666663</v>
      </c>
      <c r="W46" s="10">
        <v>9</v>
      </c>
      <c r="X46" s="9">
        <v>0.33333333333333331</v>
      </c>
      <c r="Y46" s="9">
        <v>0.66666666666666663</v>
      </c>
      <c r="Z46" s="10">
        <v>8</v>
      </c>
      <c r="AA46" s="35">
        <v>0.33333333333333331</v>
      </c>
      <c r="AB46" s="35">
        <v>0.66666666666666663</v>
      </c>
      <c r="AC46" s="36">
        <v>8</v>
      </c>
      <c r="AD46" s="9">
        <v>0.33333333333333331</v>
      </c>
      <c r="AE46" s="9">
        <v>0.73333333333333328</v>
      </c>
      <c r="AF46" s="82"/>
    </row>
    <row r="47" spans="2:32" ht="13.5" hidden="1" customHeight="1" x14ac:dyDescent="0.25">
      <c r="B47" s="8">
        <v>46049</v>
      </c>
      <c r="C47" s="22">
        <v>0.75</v>
      </c>
      <c r="D47" s="22">
        <v>0</v>
      </c>
      <c r="E47" s="10">
        <v>6</v>
      </c>
      <c r="F47" s="9">
        <v>0.33333333333333331</v>
      </c>
      <c r="G47" s="9">
        <v>0.66666666666666663</v>
      </c>
      <c r="H47" s="10">
        <v>8</v>
      </c>
      <c r="I47" s="10"/>
      <c r="J47" s="10"/>
      <c r="K47" s="10"/>
      <c r="L47" s="9">
        <v>0.375</v>
      </c>
      <c r="M47" s="9">
        <v>0.75</v>
      </c>
      <c r="N47" s="10">
        <v>9</v>
      </c>
      <c r="O47" s="85">
        <v>0.33333333333333331</v>
      </c>
      <c r="P47" s="85">
        <v>0.66666666666666663</v>
      </c>
      <c r="Q47" s="86">
        <v>8</v>
      </c>
      <c r="R47" s="9">
        <v>0.375</v>
      </c>
      <c r="S47" s="9">
        <v>0.75</v>
      </c>
      <c r="T47" s="10">
        <v>9</v>
      </c>
      <c r="U47" s="9">
        <v>0.29166666666666669</v>
      </c>
      <c r="V47" s="9">
        <v>0.70833333333333337</v>
      </c>
      <c r="W47" s="10">
        <v>10</v>
      </c>
      <c r="X47" s="9">
        <v>0.33333333333333331</v>
      </c>
      <c r="Y47" s="9">
        <v>0.66666666666666663</v>
      </c>
      <c r="Z47" s="10">
        <v>8</v>
      </c>
      <c r="AA47" s="35">
        <v>0.33333333333333331</v>
      </c>
      <c r="AB47" s="35">
        <v>0.66666666666666663</v>
      </c>
      <c r="AC47" s="36">
        <v>8</v>
      </c>
      <c r="AD47" s="9">
        <v>0.33333333333333331</v>
      </c>
      <c r="AE47" s="9">
        <v>0.73333333333333328</v>
      </c>
      <c r="AF47" s="82"/>
    </row>
    <row r="48" spans="2:32" ht="13.5" hidden="1" customHeight="1" x14ac:dyDescent="0.25">
      <c r="B48" s="8">
        <v>46050</v>
      </c>
      <c r="C48" s="22">
        <v>0.75</v>
      </c>
      <c r="D48" s="22">
        <v>0</v>
      </c>
      <c r="E48" s="10">
        <v>6</v>
      </c>
      <c r="F48" s="9">
        <v>0.33333333333333331</v>
      </c>
      <c r="G48" s="9">
        <v>0.66666666666666663</v>
      </c>
      <c r="H48" s="10">
        <v>8</v>
      </c>
      <c r="I48" s="10"/>
      <c r="J48" s="10"/>
      <c r="K48" s="10"/>
      <c r="L48" s="9">
        <v>0.33333333333333331</v>
      </c>
      <c r="M48" s="9">
        <v>0.75</v>
      </c>
      <c r="N48" s="10">
        <v>10</v>
      </c>
      <c r="O48" s="85">
        <v>0.33333333333333331</v>
      </c>
      <c r="P48" s="85">
        <v>0.66666666666666663</v>
      </c>
      <c r="Q48" s="86">
        <v>8</v>
      </c>
      <c r="R48" s="9">
        <v>0.33333333333333331</v>
      </c>
      <c r="S48" s="9">
        <v>0.75</v>
      </c>
      <c r="T48" s="10">
        <v>10</v>
      </c>
      <c r="U48" s="9">
        <v>0.29166666666666669</v>
      </c>
      <c r="V48" s="9">
        <v>0.66666666666666663</v>
      </c>
      <c r="W48" s="10">
        <v>9</v>
      </c>
      <c r="X48" s="9">
        <v>0.33333333333333331</v>
      </c>
      <c r="Y48" s="9">
        <v>0.66666666666666663</v>
      </c>
      <c r="Z48" s="10">
        <v>8</v>
      </c>
      <c r="AA48" s="35">
        <v>0.33333333333333331</v>
      </c>
      <c r="AB48" s="35">
        <v>0.70833333333333337</v>
      </c>
      <c r="AC48" s="36">
        <v>9</v>
      </c>
      <c r="AD48" s="9">
        <v>0.33333333333333331</v>
      </c>
      <c r="AE48" s="9">
        <v>0.73333333333333328</v>
      </c>
      <c r="AF48" s="82"/>
    </row>
    <row r="49" spans="2:33" ht="13.5" hidden="1" customHeight="1" x14ac:dyDescent="0.25">
      <c r="B49" s="8">
        <v>46051</v>
      </c>
      <c r="C49" s="22">
        <v>0.75</v>
      </c>
      <c r="D49" s="22">
        <v>0</v>
      </c>
      <c r="E49" s="10">
        <v>6</v>
      </c>
      <c r="F49" s="9">
        <v>0.375</v>
      </c>
      <c r="G49" s="9">
        <v>0.66666666666666663</v>
      </c>
      <c r="H49" s="10">
        <v>7</v>
      </c>
      <c r="I49" s="10"/>
      <c r="J49" s="10"/>
      <c r="K49" s="10"/>
      <c r="L49" s="9">
        <v>0.33333333333333331</v>
      </c>
      <c r="M49" s="9">
        <v>0.75</v>
      </c>
      <c r="N49" s="10">
        <v>10</v>
      </c>
      <c r="O49" s="85">
        <v>0.33333333333333331</v>
      </c>
      <c r="P49" s="85">
        <v>0.66666666666666663</v>
      </c>
      <c r="Q49" s="86">
        <v>8</v>
      </c>
      <c r="R49" s="9">
        <v>0.33333333333333331</v>
      </c>
      <c r="S49" s="9">
        <v>0.75</v>
      </c>
      <c r="T49" s="10">
        <v>10</v>
      </c>
      <c r="U49" s="9">
        <v>0.29166666666666669</v>
      </c>
      <c r="V49" s="9">
        <v>0.70833333333333337</v>
      </c>
      <c r="W49" s="10">
        <v>10</v>
      </c>
      <c r="X49" s="9">
        <v>0.375</v>
      </c>
      <c r="Y49" s="9">
        <v>0.66666666666666663</v>
      </c>
      <c r="Z49" s="10">
        <v>7</v>
      </c>
      <c r="AA49" s="35">
        <v>0.33333333333333331</v>
      </c>
      <c r="AB49" s="35">
        <v>0.70833333333333337</v>
      </c>
      <c r="AC49" s="36">
        <v>9</v>
      </c>
      <c r="AD49" s="9">
        <v>0.33333333333333331</v>
      </c>
      <c r="AE49" s="9">
        <v>0.73333333333333328</v>
      </c>
      <c r="AF49" s="82"/>
    </row>
    <row r="50" spans="2:33" ht="13.5" hidden="1" customHeight="1" x14ac:dyDescent="0.25">
      <c r="B50" s="8">
        <v>46052</v>
      </c>
      <c r="C50" s="22">
        <v>0.75</v>
      </c>
      <c r="D50" s="22">
        <v>0</v>
      </c>
      <c r="E50" s="10">
        <v>6</v>
      </c>
      <c r="F50" s="9">
        <v>0.375</v>
      </c>
      <c r="G50" s="9">
        <v>0.66666666666666663</v>
      </c>
      <c r="H50" s="10">
        <v>7</v>
      </c>
      <c r="I50" s="10"/>
      <c r="J50" s="10"/>
      <c r="K50" s="10"/>
      <c r="L50" s="9">
        <v>0.33333333333333331</v>
      </c>
      <c r="M50" s="9">
        <v>0.75</v>
      </c>
      <c r="N50" s="10">
        <v>10</v>
      </c>
      <c r="O50" s="85">
        <v>0.33333333333333331</v>
      </c>
      <c r="P50" s="85">
        <v>0.66666666666666663</v>
      </c>
      <c r="Q50" s="86">
        <v>8</v>
      </c>
      <c r="R50" s="9">
        <v>0.33333333333333331</v>
      </c>
      <c r="S50" s="9">
        <v>0.75</v>
      </c>
      <c r="T50" s="10">
        <v>10</v>
      </c>
      <c r="U50" s="9">
        <v>0.29166666666666669</v>
      </c>
      <c r="V50" s="9">
        <v>0.64583333333333337</v>
      </c>
      <c r="W50" s="10">
        <v>8.5</v>
      </c>
      <c r="X50" s="9">
        <v>0.375</v>
      </c>
      <c r="Y50" s="9">
        <v>0.66666666666666663</v>
      </c>
      <c r="Z50" s="10">
        <v>7</v>
      </c>
      <c r="AA50" s="35">
        <v>0.33333333333333331</v>
      </c>
      <c r="AB50" s="35">
        <v>0.70833333333333337</v>
      </c>
      <c r="AC50" s="36">
        <v>9</v>
      </c>
      <c r="AD50" s="9">
        <v>0.33333333333333331</v>
      </c>
      <c r="AE50" s="9">
        <v>0.73333333333333328</v>
      </c>
      <c r="AF50" s="82"/>
    </row>
    <row r="51" spans="2:33" ht="13.5" hidden="1" customHeight="1" x14ac:dyDescent="0.25">
      <c r="B51" s="8">
        <v>46053</v>
      </c>
      <c r="C51" s="22">
        <v>0.75</v>
      </c>
      <c r="D51" s="22">
        <v>0</v>
      </c>
      <c r="E51" s="10">
        <v>6</v>
      </c>
      <c r="F51" s="31">
        <v>0.33333333333333331</v>
      </c>
      <c r="G51" s="31">
        <v>0.75</v>
      </c>
      <c r="H51" s="10">
        <v>10</v>
      </c>
      <c r="I51" s="10"/>
      <c r="J51" s="10"/>
      <c r="K51" s="10"/>
      <c r="L51" s="31"/>
      <c r="M51" s="31"/>
      <c r="N51" s="10"/>
      <c r="O51" s="85">
        <v>0.33333333333333331</v>
      </c>
      <c r="P51" s="85">
        <v>0.66666666666666663</v>
      </c>
      <c r="Q51" s="86">
        <v>8</v>
      </c>
      <c r="R51" s="31"/>
      <c r="S51" s="31"/>
      <c r="T51" s="10"/>
      <c r="U51" s="9"/>
      <c r="V51" s="9"/>
      <c r="W51" s="10"/>
      <c r="X51" s="31"/>
      <c r="Y51" s="31"/>
      <c r="Z51" s="10"/>
      <c r="AA51" s="87">
        <v>0.33333333333333331</v>
      </c>
      <c r="AB51" s="87">
        <v>0.54166666666666663</v>
      </c>
      <c r="AC51" s="88">
        <v>5</v>
      </c>
      <c r="AD51" s="22"/>
      <c r="AE51" s="22"/>
      <c r="AF51" s="83"/>
    </row>
    <row r="52" spans="2:33" ht="13.5" hidden="1" customHeight="1" x14ac:dyDescent="0.25">
      <c r="B52" s="8">
        <v>46054</v>
      </c>
      <c r="C52" s="22"/>
      <c r="D52" s="22"/>
      <c r="E52" s="22"/>
      <c r="F52" s="31"/>
      <c r="G52" s="31"/>
      <c r="H52" s="10"/>
      <c r="I52" s="10"/>
      <c r="J52" s="10"/>
      <c r="K52" s="10"/>
      <c r="L52" s="64"/>
      <c r="M52" s="64"/>
      <c r="N52" s="59"/>
      <c r="O52" s="31"/>
      <c r="P52" s="31"/>
      <c r="Q52" s="10"/>
      <c r="R52" s="64"/>
      <c r="S52" s="64"/>
      <c r="T52" s="59"/>
      <c r="U52" s="10"/>
      <c r="V52" s="10"/>
      <c r="W52" s="10"/>
      <c r="X52" s="31">
        <v>0.33333333333333331</v>
      </c>
      <c r="Y52" s="31">
        <v>0.75</v>
      </c>
      <c r="Z52" s="10">
        <v>10</v>
      </c>
      <c r="AA52" s="31"/>
      <c r="AB52" s="31"/>
      <c r="AC52" s="12"/>
      <c r="AD52" s="22"/>
      <c r="AE52" s="22"/>
      <c r="AF52" s="43"/>
    </row>
    <row r="53" spans="2:33" ht="13.5" hidden="1" customHeight="1" x14ac:dyDescent="0.25">
      <c r="B53" s="4"/>
      <c r="C53" s="14"/>
      <c r="D53" s="14"/>
      <c r="E53" s="15">
        <f>SUM(E46:E52)</f>
        <v>36</v>
      </c>
      <c r="F53" s="14"/>
      <c r="G53" s="14"/>
      <c r="H53" s="15">
        <f>SUM(H46:H52)</f>
        <v>48</v>
      </c>
      <c r="I53" s="15"/>
      <c r="J53" s="15"/>
      <c r="K53" s="15"/>
      <c r="L53" s="14"/>
      <c r="M53" s="14"/>
      <c r="N53" s="15">
        <f>SUM(N46:N52)</f>
        <v>48</v>
      </c>
      <c r="O53" s="4"/>
      <c r="P53" s="4"/>
      <c r="Q53" s="15">
        <f>SUM(Q46:Q52)</f>
        <v>48</v>
      </c>
      <c r="R53" s="14"/>
      <c r="S53" s="14"/>
      <c r="T53" s="15">
        <f>SUM(T46:T52)</f>
        <v>48</v>
      </c>
      <c r="U53" s="15"/>
      <c r="V53" s="15"/>
      <c r="W53" s="15">
        <f>SUM(W46:W52)</f>
        <v>46.5</v>
      </c>
      <c r="X53" s="14"/>
      <c r="Y53" s="14"/>
      <c r="Z53" s="15">
        <f>SUM(Z46:Z52)</f>
        <v>48</v>
      </c>
      <c r="AA53" s="14"/>
      <c r="AB53" s="14"/>
      <c r="AC53" s="17">
        <f>SUM(AC46:AC52)</f>
        <v>48</v>
      </c>
      <c r="AD53" s="14"/>
      <c r="AE53" s="14"/>
      <c r="AF53" s="82"/>
      <c r="AG53" s="82">
        <f>AF53*5</f>
        <v>0</v>
      </c>
    </row>
    <row r="54" spans="2:33" ht="13.5" hidden="1" customHeight="1" x14ac:dyDescent="0.25"/>
    <row r="55" spans="2:33" ht="13.5" hidden="1" customHeight="1" x14ac:dyDescent="0.25">
      <c r="B55" s="8">
        <v>46055</v>
      </c>
      <c r="C55" s="22">
        <v>0.75</v>
      </c>
      <c r="D55" s="22">
        <v>0</v>
      </c>
      <c r="E55" s="10">
        <v>6</v>
      </c>
      <c r="F55" s="9">
        <v>0.33333333333333331</v>
      </c>
      <c r="G55" s="9">
        <v>0.75</v>
      </c>
      <c r="H55" s="10">
        <v>10</v>
      </c>
      <c r="I55" s="10"/>
      <c r="J55" s="10"/>
      <c r="K55" s="10"/>
      <c r="L55" s="9">
        <v>0.33333333333333331</v>
      </c>
      <c r="M55" s="9">
        <v>0.66666666666666663</v>
      </c>
      <c r="N55" s="10">
        <v>8</v>
      </c>
      <c r="O55" s="9">
        <v>0.375</v>
      </c>
      <c r="P55" s="9">
        <v>0.75</v>
      </c>
      <c r="Q55" s="10">
        <v>9</v>
      </c>
      <c r="R55" s="85">
        <v>0.33333333333333331</v>
      </c>
      <c r="S55" s="85">
        <v>0.66666666666666663</v>
      </c>
      <c r="T55" s="86">
        <v>8</v>
      </c>
      <c r="U55" s="9">
        <v>0.375</v>
      </c>
      <c r="V55" s="9">
        <v>0.72916666666666663</v>
      </c>
      <c r="W55" s="10">
        <v>8.5</v>
      </c>
      <c r="X55" s="9">
        <v>0.33333333333333331</v>
      </c>
      <c r="Y55" s="9">
        <v>0.75</v>
      </c>
      <c r="Z55" s="10">
        <v>10</v>
      </c>
      <c r="AA55" s="9">
        <v>0.33333333333333331</v>
      </c>
      <c r="AB55" s="9">
        <v>0.75</v>
      </c>
      <c r="AC55" s="10">
        <v>10</v>
      </c>
      <c r="AD55" s="9">
        <v>0.33333333333333331</v>
      </c>
      <c r="AE55" s="9">
        <v>0.73333333333333328</v>
      </c>
      <c r="AF55" s="82"/>
    </row>
    <row r="56" spans="2:33" ht="13.5" hidden="1" customHeight="1" x14ac:dyDescent="0.25">
      <c r="B56" s="8">
        <v>46056</v>
      </c>
      <c r="C56" s="22">
        <v>0.75</v>
      </c>
      <c r="D56" s="22">
        <v>0</v>
      </c>
      <c r="E56" s="10">
        <v>6</v>
      </c>
      <c r="F56" s="9">
        <v>0.33333333333333331</v>
      </c>
      <c r="G56" s="9">
        <v>0.75</v>
      </c>
      <c r="H56" s="10">
        <v>10</v>
      </c>
      <c r="I56" s="10"/>
      <c r="J56" s="10"/>
      <c r="K56" s="10"/>
      <c r="L56" s="9">
        <v>0.33333333333333331</v>
      </c>
      <c r="M56" s="9">
        <v>0.66666666666666663</v>
      </c>
      <c r="N56" s="10">
        <v>8</v>
      </c>
      <c r="O56" s="9">
        <v>0.375</v>
      </c>
      <c r="P56" s="9">
        <v>0.75</v>
      </c>
      <c r="Q56" s="10">
        <v>9</v>
      </c>
      <c r="R56" s="9">
        <v>0.33333333333333331</v>
      </c>
      <c r="S56" s="9">
        <v>0.66666666666666663</v>
      </c>
      <c r="T56" s="10">
        <v>8</v>
      </c>
      <c r="U56" s="9">
        <v>0.375</v>
      </c>
      <c r="V56" s="9">
        <v>0.75</v>
      </c>
      <c r="W56" s="10">
        <v>9</v>
      </c>
      <c r="X56" s="9">
        <v>0.375</v>
      </c>
      <c r="Y56" s="9">
        <v>0.75</v>
      </c>
      <c r="Z56" s="10">
        <v>9</v>
      </c>
      <c r="AA56" s="9">
        <v>0.33333333333333331</v>
      </c>
      <c r="AB56" s="9">
        <v>0.75</v>
      </c>
      <c r="AC56" s="10">
        <v>10</v>
      </c>
      <c r="AD56" s="9">
        <v>0.33333333333333331</v>
      </c>
      <c r="AE56" s="9">
        <v>0.73333333333333328</v>
      </c>
      <c r="AF56" s="82"/>
    </row>
    <row r="57" spans="2:33" ht="13.5" hidden="1" customHeight="1" x14ac:dyDescent="0.25">
      <c r="B57" s="8">
        <v>46057</v>
      </c>
      <c r="C57" s="22">
        <v>0.75</v>
      </c>
      <c r="D57" s="22">
        <v>0</v>
      </c>
      <c r="E57" s="10">
        <v>6</v>
      </c>
      <c r="F57" s="9">
        <v>0.33333333333333331</v>
      </c>
      <c r="G57" s="9">
        <v>0.75</v>
      </c>
      <c r="H57" s="10">
        <v>10</v>
      </c>
      <c r="I57" s="10"/>
      <c r="J57" s="10"/>
      <c r="K57" s="10"/>
      <c r="L57" s="9">
        <v>0.33333333333333331</v>
      </c>
      <c r="M57" s="9">
        <v>0.66666666666666663</v>
      </c>
      <c r="N57" s="10">
        <v>8</v>
      </c>
      <c r="O57" s="9">
        <v>0.33333333333333331</v>
      </c>
      <c r="P57" s="9">
        <v>0.75</v>
      </c>
      <c r="Q57" s="10">
        <v>10</v>
      </c>
      <c r="R57" s="9">
        <v>0.33333333333333331</v>
      </c>
      <c r="S57" s="9">
        <v>0.66666666666666663</v>
      </c>
      <c r="T57" s="10">
        <v>8</v>
      </c>
      <c r="U57" s="9">
        <v>0.375</v>
      </c>
      <c r="V57" s="9">
        <v>0.70833333333333337</v>
      </c>
      <c r="W57" s="10">
        <v>8</v>
      </c>
      <c r="X57" s="9">
        <v>0.375</v>
      </c>
      <c r="Y57" s="9">
        <v>0.75</v>
      </c>
      <c r="Z57" s="10">
        <v>9</v>
      </c>
      <c r="AA57" s="85">
        <v>0.33333333333333331</v>
      </c>
      <c r="AB57" s="85">
        <v>0.66666666666666663</v>
      </c>
      <c r="AC57" s="86">
        <v>8</v>
      </c>
      <c r="AD57" s="9">
        <v>0.33333333333333331</v>
      </c>
      <c r="AE57" s="9">
        <v>0.73333333333333328</v>
      </c>
      <c r="AF57" s="82"/>
    </row>
    <row r="58" spans="2:33" ht="13.5" hidden="1" customHeight="1" x14ac:dyDescent="0.25">
      <c r="B58" s="8">
        <v>46058</v>
      </c>
      <c r="C58" s="22">
        <v>0.75</v>
      </c>
      <c r="D58" s="22">
        <v>0</v>
      </c>
      <c r="E58" s="10">
        <v>6</v>
      </c>
      <c r="F58" s="9">
        <v>0.375</v>
      </c>
      <c r="G58" s="9">
        <v>0.75</v>
      </c>
      <c r="H58" s="10">
        <v>9</v>
      </c>
      <c r="I58" s="10"/>
      <c r="J58" s="10"/>
      <c r="K58" s="10"/>
      <c r="L58" s="9">
        <v>0.375</v>
      </c>
      <c r="M58" s="9">
        <v>0.66666666666666663</v>
      </c>
      <c r="N58" s="10">
        <v>7</v>
      </c>
      <c r="O58" s="9">
        <v>0.33333333333333331</v>
      </c>
      <c r="P58" s="9">
        <v>0.75</v>
      </c>
      <c r="Q58" s="10">
        <v>10</v>
      </c>
      <c r="R58" s="9">
        <v>0.375</v>
      </c>
      <c r="S58" s="9">
        <v>0.66666666666666663</v>
      </c>
      <c r="T58" s="10">
        <v>7</v>
      </c>
      <c r="U58" s="9">
        <v>0.375</v>
      </c>
      <c r="V58" s="9">
        <v>0.75</v>
      </c>
      <c r="W58" s="10">
        <v>9</v>
      </c>
      <c r="X58" s="9">
        <v>0.33333333333333331</v>
      </c>
      <c r="Y58" s="9">
        <v>0.75</v>
      </c>
      <c r="Z58" s="10">
        <v>10</v>
      </c>
      <c r="AA58" s="9">
        <v>0.33333333333333331</v>
      </c>
      <c r="AB58" s="9">
        <v>0.75</v>
      </c>
      <c r="AC58" s="10">
        <v>10</v>
      </c>
      <c r="AD58" s="9">
        <v>0.33333333333333331</v>
      </c>
      <c r="AE58" s="9">
        <v>0.73333333333333328</v>
      </c>
      <c r="AF58" s="82"/>
    </row>
    <row r="59" spans="2:33" ht="13.5" hidden="1" customHeight="1" x14ac:dyDescent="0.25">
      <c r="B59" s="8">
        <v>46059</v>
      </c>
      <c r="C59" s="22">
        <v>0.75</v>
      </c>
      <c r="D59" s="22">
        <v>0</v>
      </c>
      <c r="E59" s="10">
        <v>6</v>
      </c>
      <c r="F59" s="9">
        <v>0.375</v>
      </c>
      <c r="G59" s="9">
        <v>0.75</v>
      </c>
      <c r="H59" s="10">
        <v>9</v>
      </c>
      <c r="I59" s="10"/>
      <c r="J59" s="10"/>
      <c r="K59" s="10"/>
      <c r="L59" s="9">
        <v>0.375</v>
      </c>
      <c r="M59" s="9">
        <v>0.66666666666666663</v>
      </c>
      <c r="N59" s="10">
        <v>7</v>
      </c>
      <c r="O59" s="9">
        <v>0.33333333333333331</v>
      </c>
      <c r="P59" s="9">
        <v>0.75</v>
      </c>
      <c r="Q59" s="10">
        <v>10</v>
      </c>
      <c r="R59" s="9">
        <v>0.375</v>
      </c>
      <c r="S59" s="9">
        <v>0.66666666666666663</v>
      </c>
      <c r="T59" s="10">
        <v>7</v>
      </c>
      <c r="U59" s="9">
        <v>0.375</v>
      </c>
      <c r="V59" s="9">
        <v>0.70833333333333337</v>
      </c>
      <c r="W59" s="10">
        <v>8</v>
      </c>
      <c r="X59" s="9">
        <v>0.33333333333333331</v>
      </c>
      <c r="Y59" s="9">
        <v>0.75</v>
      </c>
      <c r="Z59" s="10">
        <v>10</v>
      </c>
      <c r="AA59" s="9">
        <v>0.33333333333333331</v>
      </c>
      <c r="AB59" s="9">
        <v>0.75</v>
      </c>
      <c r="AC59" s="10">
        <v>10</v>
      </c>
      <c r="AD59" s="9">
        <v>0.33333333333333331</v>
      </c>
      <c r="AE59" s="9">
        <v>0.73333333333333328</v>
      </c>
      <c r="AF59" s="82"/>
    </row>
    <row r="60" spans="2:33" ht="13.5" hidden="1" customHeight="1" x14ac:dyDescent="0.25">
      <c r="B60" s="8">
        <v>46060</v>
      </c>
      <c r="C60" s="22">
        <v>0.75</v>
      </c>
      <c r="D60" s="22">
        <v>0</v>
      </c>
      <c r="E60" s="10">
        <v>6</v>
      </c>
      <c r="F60" s="31"/>
      <c r="G60" s="31"/>
      <c r="H60" s="10"/>
      <c r="I60" s="10"/>
      <c r="J60" s="10"/>
      <c r="K60" s="10"/>
      <c r="L60" s="9"/>
      <c r="M60" s="9"/>
      <c r="N60" s="10"/>
      <c r="O60" s="9"/>
      <c r="P60" s="9"/>
      <c r="Q60" s="10"/>
      <c r="R60" s="31">
        <v>0.33333333333333331</v>
      </c>
      <c r="S60" s="31">
        <v>0.75</v>
      </c>
      <c r="T60" s="10">
        <v>10</v>
      </c>
      <c r="U60" s="11">
        <v>0.375</v>
      </c>
      <c r="V60" s="11">
        <v>0.54166666666666663</v>
      </c>
      <c r="W60" s="12">
        <v>4</v>
      </c>
      <c r="X60" s="31"/>
      <c r="Y60" s="31"/>
      <c r="Z60" s="10"/>
      <c r="AA60" s="64"/>
      <c r="AB60" s="64"/>
      <c r="AC60" s="59"/>
      <c r="AD60" s="9"/>
      <c r="AE60" s="9"/>
      <c r="AF60" s="83"/>
    </row>
    <row r="61" spans="2:33" ht="13.5" hidden="1" customHeight="1" x14ac:dyDescent="0.25">
      <c r="B61" s="8">
        <v>46061</v>
      </c>
      <c r="C61" s="22"/>
      <c r="D61" s="22"/>
      <c r="E61" s="22"/>
      <c r="F61" s="31"/>
      <c r="G61" s="31"/>
      <c r="H61" s="10"/>
      <c r="I61" s="10"/>
      <c r="J61" s="10"/>
      <c r="K61" s="10"/>
      <c r="L61" s="31">
        <v>0.33333333333333331</v>
      </c>
      <c r="M61" s="31">
        <v>0.75</v>
      </c>
      <c r="N61" s="10">
        <v>10</v>
      </c>
      <c r="O61" s="31"/>
      <c r="P61" s="31"/>
      <c r="Q61" s="10"/>
      <c r="R61" s="64"/>
      <c r="S61" s="64"/>
      <c r="T61" s="59"/>
      <c r="U61" s="10"/>
      <c r="V61" s="10"/>
      <c r="W61" s="10"/>
      <c r="X61" s="31"/>
      <c r="Y61" s="31"/>
      <c r="Z61" s="10"/>
      <c r="AA61" s="31"/>
      <c r="AB61" s="31"/>
      <c r="AC61" s="12"/>
      <c r="AD61" s="22"/>
      <c r="AE61" s="22"/>
      <c r="AF61" s="43"/>
    </row>
    <row r="62" spans="2:33" ht="13.5" hidden="1" customHeight="1" x14ac:dyDescent="0.25">
      <c r="B62" s="4"/>
      <c r="C62" s="14"/>
      <c r="D62" s="14"/>
      <c r="E62" s="15">
        <v>36</v>
      </c>
      <c r="F62" s="14"/>
      <c r="G62" s="14"/>
      <c r="H62" s="15">
        <f>SUM(H55:H61)</f>
        <v>48</v>
      </c>
      <c r="I62" s="15"/>
      <c r="J62" s="15"/>
      <c r="K62" s="15"/>
      <c r="L62" s="14"/>
      <c r="M62" s="14"/>
      <c r="N62" s="15">
        <f>SUM(N55:N61)</f>
        <v>48</v>
      </c>
      <c r="O62" s="4"/>
      <c r="P62" s="4"/>
      <c r="Q62" s="15">
        <f>SUM(Q55:Q61)</f>
        <v>48</v>
      </c>
      <c r="R62" s="14"/>
      <c r="S62" s="14"/>
      <c r="T62" s="15">
        <f>SUM(T55:T61)</f>
        <v>48</v>
      </c>
      <c r="U62" s="15"/>
      <c r="V62" s="15"/>
      <c r="W62" s="15">
        <f>SUM(W55:W61)</f>
        <v>46.5</v>
      </c>
      <c r="X62" s="14"/>
      <c r="Y62" s="14"/>
      <c r="Z62" s="15">
        <f>SUM(Z55:Z61)</f>
        <v>48</v>
      </c>
      <c r="AA62" s="14"/>
      <c r="AB62" s="14"/>
      <c r="AC62" s="17">
        <f>SUM(AC55:AC61)</f>
        <v>48</v>
      </c>
      <c r="AD62" s="14"/>
      <c r="AE62" s="14"/>
      <c r="AF62" s="82"/>
      <c r="AG62" s="82">
        <f>AF62*5</f>
        <v>0</v>
      </c>
    </row>
    <row r="63" spans="2:33" hidden="1" x14ac:dyDescent="0.25"/>
    <row r="64" spans="2:33" hidden="1" x14ac:dyDescent="0.25">
      <c r="B64" s="8">
        <v>46062</v>
      </c>
      <c r="C64" s="22">
        <v>0.75</v>
      </c>
      <c r="D64" s="22">
        <v>0</v>
      </c>
      <c r="E64" s="10">
        <v>6</v>
      </c>
      <c r="F64" s="85">
        <v>0.33333333333333331</v>
      </c>
      <c r="G64" s="85">
        <v>0.66666666666666663</v>
      </c>
      <c r="H64" s="86">
        <v>8</v>
      </c>
      <c r="I64" s="86"/>
      <c r="J64" s="86"/>
      <c r="K64" s="86"/>
      <c r="L64" s="9">
        <v>0.375</v>
      </c>
      <c r="M64" s="9">
        <v>0.75</v>
      </c>
      <c r="N64" s="10">
        <v>9</v>
      </c>
      <c r="O64" s="9">
        <v>0.33333333333333331</v>
      </c>
      <c r="P64" s="9">
        <v>0.66666666666666663</v>
      </c>
      <c r="Q64" s="10">
        <v>8</v>
      </c>
      <c r="R64" s="9">
        <v>0.375</v>
      </c>
      <c r="S64" s="9">
        <v>0.75</v>
      </c>
      <c r="T64" s="10">
        <v>9</v>
      </c>
      <c r="U64" s="9">
        <v>0.375</v>
      </c>
      <c r="V64" s="9">
        <v>0.77083333333333337</v>
      </c>
      <c r="W64" s="10">
        <v>9.5</v>
      </c>
      <c r="X64" s="9">
        <v>0.33333333333333331</v>
      </c>
      <c r="Y64" s="9">
        <v>0.66666666666666663</v>
      </c>
      <c r="Z64" s="10">
        <v>8</v>
      </c>
      <c r="AA64" s="9">
        <v>0.33333333333333331</v>
      </c>
      <c r="AB64" s="9">
        <v>0.70833333333333337</v>
      </c>
      <c r="AC64" s="10">
        <v>9</v>
      </c>
      <c r="AD64" s="9">
        <v>0.33333333333333331</v>
      </c>
      <c r="AE64" s="9">
        <v>0.73333333333333328</v>
      </c>
      <c r="AF64" s="40"/>
      <c r="AG64" s="4"/>
    </row>
    <row r="65" spans="2:33" hidden="1" x14ac:dyDescent="0.25">
      <c r="B65" s="8">
        <v>46063</v>
      </c>
      <c r="C65" s="22">
        <v>0.75</v>
      </c>
      <c r="D65" s="22">
        <v>0</v>
      </c>
      <c r="E65" s="10">
        <v>6</v>
      </c>
      <c r="F65" s="9">
        <v>0.33333333333333331</v>
      </c>
      <c r="G65" s="9">
        <v>0.75</v>
      </c>
      <c r="H65" s="10">
        <v>10</v>
      </c>
      <c r="I65" s="10"/>
      <c r="J65" s="10"/>
      <c r="K65" s="10"/>
      <c r="L65" s="9">
        <v>0.375</v>
      </c>
      <c r="M65" s="9">
        <v>0.75</v>
      </c>
      <c r="N65" s="10">
        <v>9</v>
      </c>
      <c r="O65" s="9">
        <v>0.33333333333333331</v>
      </c>
      <c r="P65" s="9">
        <v>0.66666666666666663</v>
      </c>
      <c r="Q65" s="10">
        <v>8</v>
      </c>
      <c r="R65" s="9">
        <v>0.375</v>
      </c>
      <c r="S65" s="9">
        <v>0.75</v>
      </c>
      <c r="T65" s="10">
        <v>9</v>
      </c>
      <c r="U65" s="9">
        <v>0.375</v>
      </c>
      <c r="V65" s="9">
        <v>0.75</v>
      </c>
      <c r="W65" s="10">
        <v>9</v>
      </c>
      <c r="X65" s="9">
        <v>0.33333333333333331</v>
      </c>
      <c r="Y65" s="9">
        <v>0.66666666666666663</v>
      </c>
      <c r="Z65" s="10">
        <v>8</v>
      </c>
      <c r="AA65" s="9">
        <v>0.33333333333333331</v>
      </c>
      <c r="AB65" s="9">
        <v>0.66666666666666663</v>
      </c>
      <c r="AC65" s="10">
        <v>8</v>
      </c>
      <c r="AD65" s="9">
        <v>0.33333333333333331</v>
      </c>
      <c r="AE65" s="9">
        <v>0.73333333333333328</v>
      </c>
      <c r="AF65" s="40"/>
      <c r="AG65" s="4"/>
    </row>
    <row r="66" spans="2:33" hidden="1" x14ac:dyDescent="0.25">
      <c r="B66" s="8">
        <v>46064</v>
      </c>
      <c r="C66" s="22">
        <v>0.75</v>
      </c>
      <c r="D66" s="22">
        <v>0</v>
      </c>
      <c r="E66" s="10">
        <v>6</v>
      </c>
      <c r="F66" s="9">
        <v>0.33333333333333331</v>
      </c>
      <c r="G66" s="9">
        <v>0.75</v>
      </c>
      <c r="H66" s="10">
        <v>10</v>
      </c>
      <c r="I66" s="10"/>
      <c r="J66" s="10"/>
      <c r="K66" s="10"/>
      <c r="L66" s="9">
        <v>0.33333333333333331</v>
      </c>
      <c r="M66" s="9">
        <v>0.75</v>
      </c>
      <c r="N66" s="10">
        <v>10</v>
      </c>
      <c r="O66" s="9">
        <v>0.33333333333333331</v>
      </c>
      <c r="P66" s="9">
        <v>0.66666666666666663</v>
      </c>
      <c r="Q66" s="10">
        <v>8</v>
      </c>
      <c r="R66" s="9">
        <v>0.33333333333333331</v>
      </c>
      <c r="S66" s="9">
        <v>0.75</v>
      </c>
      <c r="T66" s="10">
        <v>10</v>
      </c>
      <c r="U66" s="9">
        <v>0.375</v>
      </c>
      <c r="V66" s="9">
        <v>0.75</v>
      </c>
      <c r="W66" s="10">
        <v>9</v>
      </c>
      <c r="X66" s="9">
        <v>0.33333333333333331</v>
      </c>
      <c r="Y66" s="9">
        <v>0.66666666666666663</v>
      </c>
      <c r="Z66" s="10">
        <v>8</v>
      </c>
      <c r="AA66" s="9">
        <v>0.33333333333333331</v>
      </c>
      <c r="AB66" s="9">
        <v>0.70833333333333337</v>
      </c>
      <c r="AC66" s="10">
        <v>9</v>
      </c>
      <c r="AD66" s="9">
        <v>0.33333333333333331</v>
      </c>
      <c r="AE66" s="9">
        <v>0.73333333333333328</v>
      </c>
      <c r="AF66" s="40"/>
      <c r="AG66" s="4"/>
    </row>
    <row r="67" spans="2:33" hidden="1" x14ac:dyDescent="0.25">
      <c r="B67" s="8">
        <v>46065</v>
      </c>
      <c r="C67" s="22">
        <v>0.75</v>
      </c>
      <c r="D67" s="22">
        <v>0</v>
      </c>
      <c r="E67" s="10">
        <v>6</v>
      </c>
      <c r="F67" s="9">
        <v>0.33333333333333331</v>
      </c>
      <c r="G67" s="9">
        <v>0.75</v>
      </c>
      <c r="H67" s="10">
        <v>10</v>
      </c>
      <c r="I67" s="10"/>
      <c r="J67" s="10"/>
      <c r="K67" s="10"/>
      <c r="L67" s="9">
        <v>0.33333333333333331</v>
      </c>
      <c r="M67" s="9">
        <v>0.75</v>
      </c>
      <c r="N67" s="10">
        <v>10</v>
      </c>
      <c r="O67" s="9">
        <v>0.375</v>
      </c>
      <c r="P67" s="9">
        <v>0.66666666666666663</v>
      </c>
      <c r="Q67" s="10">
        <v>7</v>
      </c>
      <c r="R67" s="9">
        <v>0.33333333333333331</v>
      </c>
      <c r="S67" s="9">
        <v>0.75</v>
      </c>
      <c r="T67" s="10">
        <v>10</v>
      </c>
      <c r="U67" s="9">
        <v>0.375</v>
      </c>
      <c r="V67" s="9">
        <v>0.77083333333333337</v>
      </c>
      <c r="W67" s="10">
        <v>9.5</v>
      </c>
      <c r="X67" s="9">
        <v>0.375</v>
      </c>
      <c r="Y67" s="9">
        <v>0.66666666666666663</v>
      </c>
      <c r="Z67" s="10">
        <v>7</v>
      </c>
      <c r="AA67" s="9">
        <v>0.33333333333333331</v>
      </c>
      <c r="AB67" s="9">
        <v>0.70833333333333337</v>
      </c>
      <c r="AC67" s="10">
        <v>9</v>
      </c>
      <c r="AD67" s="9">
        <v>0.33333333333333331</v>
      </c>
      <c r="AE67" s="9">
        <v>0.73333333333333328</v>
      </c>
      <c r="AF67" s="40"/>
      <c r="AG67" s="4"/>
    </row>
    <row r="68" spans="2:33" hidden="1" x14ac:dyDescent="0.25">
      <c r="B68" s="8">
        <v>46066</v>
      </c>
      <c r="C68" s="22">
        <v>0.75</v>
      </c>
      <c r="D68" s="22">
        <v>0</v>
      </c>
      <c r="E68" s="10">
        <v>6</v>
      </c>
      <c r="F68" s="9">
        <v>0.33333333333333331</v>
      </c>
      <c r="G68" s="9">
        <v>0.75</v>
      </c>
      <c r="H68" s="10">
        <v>10</v>
      </c>
      <c r="I68" s="10"/>
      <c r="J68" s="10"/>
      <c r="K68" s="10"/>
      <c r="L68" s="9">
        <v>0.33333333333333331</v>
      </c>
      <c r="M68" s="9">
        <v>0.75</v>
      </c>
      <c r="N68" s="10">
        <v>10</v>
      </c>
      <c r="O68" s="9">
        <v>0.375</v>
      </c>
      <c r="P68" s="9">
        <v>0.66666666666666663</v>
      </c>
      <c r="Q68" s="10">
        <v>7</v>
      </c>
      <c r="R68" s="9">
        <v>0.33333333333333331</v>
      </c>
      <c r="S68" s="9">
        <v>0.75</v>
      </c>
      <c r="T68" s="10">
        <v>10</v>
      </c>
      <c r="U68" s="9">
        <v>0.375</v>
      </c>
      <c r="V68" s="9">
        <v>0.77083333333333337</v>
      </c>
      <c r="W68" s="10">
        <v>9.5</v>
      </c>
      <c r="X68" s="9">
        <v>0.375</v>
      </c>
      <c r="Y68" s="9">
        <v>0.66666666666666663</v>
      </c>
      <c r="Z68" s="10">
        <v>7</v>
      </c>
      <c r="AA68" s="9">
        <v>0.33333333333333331</v>
      </c>
      <c r="AB68" s="9">
        <v>0.70833333333333337</v>
      </c>
      <c r="AC68" s="10">
        <v>9</v>
      </c>
      <c r="AD68" s="9">
        <v>0.33333333333333331</v>
      </c>
      <c r="AE68" s="9">
        <v>0.73333333333333328</v>
      </c>
      <c r="AF68" s="40"/>
      <c r="AG68" s="4"/>
    </row>
    <row r="69" spans="2:33" hidden="1" x14ac:dyDescent="0.25">
      <c r="B69" s="8">
        <v>46067</v>
      </c>
      <c r="C69" s="22">
        <v>0.75</v>
      </c>
      <c r="D69" s="22">
        <v>0</v>
      </c>
      <c r="E69" s="10">
        <v>6</v>
      </c>
      <c r="F69" s="4"/>
      <c r="G69" s="4"/>
      <c r="H69" s="7"/>
      <c r="I69" s="7"/>
      <c r="J69" s="7"/>
      <c r="K69" s="7"/>
      <c r="L69" s="11"/>
      <c r="M69" s="11"/>
      <c r="N69" s="10"/>
      <c r="O69" s="31">
        <v>0.33333333333333331</v>
      </c>
      <c r="P69" s="31">
        <v>0.75</v>
      </c>
      <c r="Q69" s="10">
        <v>10</v>
      </c>
      <c r="R69" s="4"/>
      <c r="S69" s="4"/>
      <c r="T69" s="7"/>
      <c r="U69" s="9"/>
      <c r="V69" s="9"/>
      <c r="W69" s="10"/>
      <c r="X69" s="9"/>
      <c r="Y69" s="9"/>
      <c r="Z69" s="9"/>
      <c r="AA69" s="9">
        <v>0.33333333333333331</v>
      </c>
      <c r="AB69" s="9">
        <v>0.5</v>
      </c>
      <c r="AC69" s="10">
        <v>4</v>
      </c>
      <c r="AD69" s="4"/>
      <c r="AE69" s="4"/>
      <c r="AF69" s="40"/>
      <c r="AG69" s="4"/>
    </row>
    <row r="70" spans="2:33" hidden="1" x14ac:dyDescent="0.25">
      <c r="B70" s="8">
        <v>46068</v>
      </c>
      <c r="C70" s="22"/>
      <c r="D70" s="22"/>
      <c r="E70" s="22"/>
      <c r="F70" s="4"/>
      <c r="G70" s="4"/>
      <c r="H70" s="7"/>
      <c r="I70" s="7"/>
      <c r="J70" s="7"/>
      <c r="K70" s="7"/>
      <c r="L70" s="9"/>
      <c r="M70" s="9"/>
      <c r="N70" s="10"/>
      <c r="O70" s="4"/>
      <c r="P70" s="4"/>
      <c r="Q70" s="7"/>
      <c r="R70" s="4"/>
      <c r="S70" s="4"/>
      <c r="T70" s="7"/>
      <c r="U70" s="7"/>
      <c r="V70" s="7"/>
      <c r="W70" s="7"/>
      <c r="X70" s="31">
        <v>0.33333333333333331</v>
      </c>
      <c r="Y70" s="31">
        <v>0.75</v>
      </c>
      <c r="Z70" s="10">
        <v>10</v>
      </c>
      <c r="AA70" s="4"/>
      <c r="AB70" s="4"/>
      <c r="AC70" s="7"/>
      <c r="AD70" s="4"/>
      <c r="AE70" s="4"/>
      <c r="AF70" s="40"/>
      <c r="AG70" s="4"/>
    </row>
    <row r="71" spans="2:33" hidden="1" x14ac:dyDescent="0.25">
      <c r="B71" s="4"/>
      <c r="C71" s="14"/>
      <c r="D71" s="14"/>
      <c r="E71" s="15">
        <v>36</v>
      </c>
      <c r="F71" s="4"/>
      <c r="G71" s="4"/>
      <c r="H71" s="15">
        <f>SUM(H64:H70)</f>
        <v>48</v>
      </c>
      <c r="I71" s="15"/>
      <c r="J71" s="15"/>
      <c r="K71" s="15"/>
      <c r="L71" s="4"/>
      <c r="M71" s="4"/>
      <c r="N71" s="15">
        <f>SUM(N64:N70)</f>
        <v>48</v>
      </c>
      <c r="O71" s="4"/>
      <c r="P71" s="4"/>
      <c r="Q71" s="15">
        <f>SUM(Q64:Q70)</f>
        <v>48</v>
      </c>
      <c r="R71" s="4"/>
      <c r="S71" s="4"/>
      <c r="T71" s="15">
        <f>SUM(T64:T70)</f>
        <v>48</v>
      </c>
      <c r="U71" s="7"/>
      <c r="V71" s="7"/>
      <c r="W71" s="15">
        <f>SUM(W64:W70)</f>
        <v>46.5</v>
      </c>
      <c r="X71" s="4"/>
      <c r="Y71" s="4"/>
      <c r="Z71" s="15">
        <f>SUM(Z64:Z70)</f>
        <v>48</v>
      </c>
      <c r="AA71" s="4"/>
      <c r="AB71" s="4"/>
      <c r="AC71" s="17">
        <f>SUM(AC64:AC70)</f>
        <v>48</v>
      </c>
      <c r="AD71" s="4"/>
      <c r="AE71" s="4"/>
      <c r="AF71" s="40"/>
      <c r="AG71" s="89">
        <v>0</v>
      </c>
    </row>
    <row r="72" spans="2:33" hidden="1" x14ac:dyDescent="0.25"/>
    <row r="73" spans="2:33" hidden="1" x14ac:dyDescent="0.25">
      <c r="B73" s="8">
        <v>46069</v>
      </c>
      <c r="C73" s="22">
        <v>0.75</v>
      </c>
      <c r="D73" s="22">
        <v>0</v>
      </c>
      <c r="E73" s="10">
        <v>6</v>
      </c>
      <c r="F73" s="9">
        <v>0.33333333333333331</v>
      </c>
      <c r="G73" s="9">
        <v>0.75</v>
      </c>
      <c r="H73" s="10">
        <v>10</v>
      </c>
      <c r="I73" s="10"/>
      <c r="J73" s="10"/>
      <c r="K73" s="10"/>
      <c r="L73" s="9">
        <v>0.33333333333333331</v>
      </c>
      <c r="M73" s="9">
        <v>0.75</v>
      </c>
      <c r="N73" s="10">
        <v>10</v>
      </c>
      <c r="O73" s="9">
        <v>0.375</v>
      </c>
      <c r="P73" s="9">
        <v>0.75</v>
      </c>
      <c r="Q73" s="10">
        <v>9</v>
      </c>
      <c r="R73" s="9">
        <v>0.33333333333333331</v>
      </c>
      <c r="S73" s="9">
        <v>0.66666666666666663</v>
      </c>
      <c r="T73" s="10">
        <v>8</v>
      </c>
      <c r="U73" s="9">
        <v>0.375</v>
      </c>
      <c r="V73" s="9">
        <v>0.72916666666666663</v>
      </c>
      <c r="W73" s="10">
        <v>8.5</v>
      </c>
      <c r="X73" s="9">
        <v>0.33333333333333331</v>
      </c>
      <c r="Y73" s="9">
        <v>0.75</v>
      </c>
      <c r="Z73" s="10">
        <v>10</v>
      </c>
      <c r="AA73" s="9">
        <v>0.33333333333333331</v>
      </c>
      <c r="AB73" s="9">
        <v>0.75</v>
      </c>
      <c r="AC73" s="10">
        <v>10</v>
      </c>
      <c r="AD73" s="9">
        <v>0.33333333333333331</v>
      </c>
      <c r="AE73" s="9">
        <v>0.73333333333333328</v>
      </c>
      <c r="AF73" s="40"/>
      <c r="AG73" s="4"/>
    </row>
    <row r="74" spans="2:33" hidden="1" x14ac:dyDescent="0.25">
      <c r="B74" s="8">
        <v>46070</v>
      </c>
      <c r="C74" s="22">
        <v>0.75</v>
      </c>
      <c r="D74" s="22">
        <v>0</v>
      </c>
      <c r="E74" s="10">
        <v>6</v>
      </c>
      <c r="F74" s="9">
        <v>0.375</v>
      </c>
      <c r="G74" s="9">
        <v>0.75</v>
      </c>
      <c r="H74" s="10">
        <v>9</v>
      </c>
      <c r="I74" s="10"/>
      <c r="J74" s="10"/>
      <c r="K74" s="10"/>
      <c r="L74" s="9">
        <v>0.33333333333333331</v>
      </c>
      <c r="M74" s="9">
        <v>0.75</v>
      </c>
      <c r="N74" s="10">
        <v>10</v>
      </c>
      <c r="O74" s="9">
        <v>0.375</v>
      </c>
      <c r="P74" s="9">
        <v>0.75</v>
      </c>
      <c r="Q74" s="10">
        <v>9</v>
      </c>
      <c r="R74" s="9">
        <v>0.33333333333333331</v>
      </c>
      <c r="S74" s="9">
        <v>0.66666666666666663</v>
      </c>
      <c r="T74" s="10">
        <v>8</v>
      </c>
      <c r="U74" s="9">
        <v>0.375</v>
      </c>
      <c r="V74" s="9">
        <v>0.75</v>
      </c>
      <c r="W74" s="10">
        <v>9</v>
      </c>
      <c r="X74" s="9">
        <v>0.375</v>
      </c>
      <c r="Y74" s="9">
        <v>0.75</v>
      </c>
      <c r="Z74" s="10">
        <v>9</v>
      </c>
      <c r="AA74" s="9">
        <v>0.33333333333333331</v>
      </c>
      <c r="AB74" s="9">
        <v>0.72916666666666663</v>
      </c>
      <c r="AC74" s="10">
        <v>9.5</v>
      </c>
      <c r="AD74" s="9">
        <v>0.33333333333333331</v>
      </c>
      <c r="AE74" s="9">
        <v>0.73333333333333328</v>
      </c>
      <c r="AF74" s="40"/>
      <c r="AG74" s="4"/>
    </row>
    <row r="75" spans="2:33" hidden="1" x14ac:dyDescent="0.25">
      <c r="B75" s="8">
        <v>46071</v>
      </c>
      <c r="C75" s="22">
        <v>0.75</v>
      </c>
      <c r="D75" s="22">
        <v>0</v>
      </c>
      <c r="E75" s="10">
        <v>6</v>
      </c>
      <c r="F75" s="9">
        <v>0.375</v>
      </c>
      <c r="G75" s="9">
        <v>0.75</v>
      </c>
      <c r="H75" s="10">
        <v>9</v>
      </c>
      <c r="I75" s="10"/>
      <c r="J75" s="10"/>
      <c r="K75" s="10"/>
      <c r="L75" s="9">
        <v>0.33333333333333331</v>
      </c>
      <c r="M75" s="9">
        <v>0.75</v>
      </c>
      <c r="N75" s="10">
        <v>10</v>
      </c>
      <c r="O75" s="9">
        <v>0.33333333333333331</v>
      </c>
      <c r="P75" s="9">
        <v>0.75</v>
      </c>
      <c r="Q75" s="10">
        <v>10</v>
      </c>
      <c r="R75" s="9">
        <v>0.33333333333333331</v>
      </c>
      <c r="S75" s="9">
        <v>0.66666666666666663</v>
      </c>
      <c r="T75" s="10">
        <v>8</v>
      </c>
      <c r="U75" s="9">
        <v>0.375</v>
      </c>
      <c r="V75" s="9">
        <v>0.70833333333333337</v>
      </c>
      <c r="W75" s="10">
        <v>8</v>
      </c>
      <c r="X75" s="9">
        <v>0.375</v>
      </c>
      <c r="Y75" s="9">
        <v>0.75</v>
      </c>
      <c r="Z75" s="10">
        <v>9</v>
      </c>
      <c r="AA75" s="9">
        <v>0.33333333333333331</v>
      </c>
      <c r="AB75" s="9">
        <v>0.72916666666666663</v>
      </c>
      <c r="AC75" s="10">
        <v>9.5</v>
      </c>
      <c r="AD75" s="9">
        <v>0.33333333333333331</v>
      </c>
      <c r="AE75" s="9">
        <v>0.73333333333333328</v>
      </c>
      <c r="AF75" s="40"/>
      <c r="AG75" s="4"/>
    </row>
    <row r="76" spans="2:33" hidden="1" x14ac:dyDescent="0.25">
      <c r="B76" s="8">
        <v>46072</v>
      </c>
      <c r="C76" s="22">
        <v>0.75</v>
      </c>
      <c r="D76" s="22">
        <v>0</v>
      </c>
      <c r="E76" s="10">
        <v>6</v>
      </c>
      <c r="F76" s="9">
        <v>0.33333333333333331</v>
      </c>
      <c r="G76" s="9">
        <v>0.75</v>
      </c>
      <c r="H76" s="10">
        <v>10</v>
      </c>
      <c r="I76" s="10"/>
      <c r="J76" s="10"/>
      <c r="K76" s="10"/>
      <c r="L76" s="9">
        <v>0.375</v>
      </c>
      <c r="M76" s="9">
        <v>0.75</v>
      </c>
      <c r="N76" s="10">
        <v>9</v>
      </c>
      <c r="O76" s="9">
        <v>0.33333333333333331</v>
      </c>
      <c r="P76" s="9">
        <v>0.75</v>
      </c>
      <c r="Q76" s="10">
        <v>10</v>
      </c>
      <c r="R76" s="9">
        <v>0.375</v>
      </c>
      <c r="S76" s="9">
        <v>0.66666666666666663</v>
      </c>
      <c r="T76" s="10">
        <v>7</v>
      </c>
      <c r="U76" s="9">
        <v>0.375</v>
      </c>
      <c r="V76" s="9">
        <v>0.75</v>
      </c>
      <c r="W76" s="10">
        <v>9</v>
      </c>
      <c r="X76" s="9">
        <v>0.33333333333333331</v>
      </c>
      <c r="Y76" s="9">
        <v>0.75</v>
      </c>
      <c r="Z76" s="10">
        <v>10</v>
      </c>
      <c r="AA76" s="9">
        <v>0.33333333333333331</v>
      </c>
      <c r="AB76" s="9">
        <v>0.72916666666666663</v>
      </c>
      <c r="AC76" s="10">
        <v>9.5</v>
      </c>
      <c r="AD76" s="9">
        <v>0.33333333333333331</v>
      </c>
      <c r="AE76" s="9">
        <v>0.73333333333333328</v>
      </c>
      <c r="AF76" s="40"/>
      <c r="AG76" s="4"/>
    </row>
    <row r="77" spans="2:33" hidden="1" x14ac:dyDescent="0.25">
      <c r="B77" s="8">
        <v>46073</v>
      </c>
      <c r="C77" s="22">
        <v>0.75</v>
      </c>
      <c r="D77" s="22">
        <v>0</v>
      </c>
      <c r="E77" s="10">
        <v>6</v>
      </c>
      <c r="F77" s="9">
        <v>0.33333333333333331</v>
      </c>
      <c r="G77" s="9">
        <v>0.75</v>
      </c>
      <c r="H77" s="10">
        <v>10</v>
      </c>
      <c r="I77" s="10"/>
      <c r="J77" s="10"/>
      <c r="K77" s="10"/>
      <c r="L77" s="9">
        <v>0.375</v>
      </c>
      <c r="M77" s="9">
        <v>0.75</v>
      </c>
      <c r="N77" s="10">
        <v>9</v>
      </c>
      <c r="O77" s="9">
        <v>0.33333333333333331</v>
      </c>
      <c r="P77" s="9">
        <v>0.75</v>
      </c>
      <c r="Q77" s="10">
        <v>10</v>
      </c>
      <c r="R77" s="9">
        <v>0.375</v>
      </c>
      <c r="S77" s="9">
        <v>0.66666666666666663</v>
      </c>
      <c r="T77" s="10">
        <v>7</v>
      </c>
      <c r="U77" s="9">
        <v>0.375</v>
      </c>
      <c r="V77" s="9">
        <v>0.70833333333333337</v>
      </c>
      <c r="W77" s="10">
        <v>8</v>
      </c>
      <c r="X77" s="9">
        <v>0.33333333333333331</v>
      </c>
      <c r="Y77" s="9">
        <v>0.75</v>
      </c>
      <c r="Z77" s="10">
        <v>10</v>
      </c>
      <c r="AA77" s="9">
        <v>0.33333333333333331</v>
      </c>
      <c r="AB77" s="9">
        <v>0.72916666666666663</v>
      </c>
      <c r="AC77" s="10">
        <v>9.5</v>
      </c>
      <c r="AD77" s="9">
        <v>0.33333333333333331</v>
      </c>
      <c r="AE77" s="9">
        <v>0.73333333333333328</v>
      </c>
      <c r="AF77" s="40"/>
      <c r="AG77" s="4"/>
    </row>
    <row r="78" spans="2:33" hidden="1" x14ac:dyDescent="0.25">
      <c r="B78" s="8">
        <v>46074</v>
      </c>
      <c r="C78" s="22">
        <v>0.75</v>
      </c>
      <c r="D78" s="22">
        <v>0</v>
      </c>
      <c r="E78" s="10">
        <v>6</v>
      </c>
      <c r="F78" s="4"/>
      <c r="G78" s="4"/>
      <c r="H78" s="7"/>
      <c r="I78" s="7"/>
      <c r="J78" s="7"/>
      <c r="K78" s="7"/>
      <c r="L78" s="4"/>
      <c r="M78" s="4"/>
      <c r="N78" s="7"/>
      <c r="O78" s="4"/>
      <c r="P78" s="4"/>
      <c r="Q78" s="7"/>
      <c r="R78" s="31">
        <v>0.33333333333333331</v>
      </c>
      <c r="S78" s="31">
        <v>0.75</v>
      </c>
      <c r="T78" s="10">
        <v>10</v>
      </c>
      <c r="U78" s="7"/>
      <c r="V78" s="7"/>
      <c r="W78" s="7"/>
      <c r="X78" s="4"/>
      <c r="Y78" s="4"/>
      <c r="Z78" s="7"/>
      <c r="AA78" s="4"/>
      <c r="AB78" s="4"/>
      <c r="AC78" s="7"/>
      <c r="AD78" s="4"/>
      <c r="AE78" s="4"/>
      <c r="AF78" s="40"/>
      <c r="AG78" s="4"/>
    </row>
    <row r="79" spans="2:33" hidden="1" x14ac:dyDescent="0.25">
      <c r="B79" s="8">
        <v>46075</v>
      </c>
      <c r="C79" s="22"/>
      <c r="D79" s="22"/>
      <c r="E79" s="22"/>
      <c r="F79" s="4"/>
      <c r="G79" s="4"/>
      <c r="H79" s="7"/>
      <c r="I79" s="7"/>
      <c r="J79" s="7"/>
      <c r="K79" s="7"/>
      <c r="L79" s="4"/>
      <c r="M79" s="4"/>
      <c r="N79" s="7"/>
      <c r="O79" s="4"/>
      <c r="P79" s="4"/>
      <c r="Q79" s="7"/>
      <c r="R79" s="4"/>
      <c r="S79" s="4"/>
      <c r="T79" s="7"/>
      <c r="U79" s="11">
        <v>0.375</v>
      </c>
      <c r="V79" s="11">
        <v>0.54166666666666663</v>
      </c>
      <c r="W79" s="12">
        <v>4</v>
      </c>
      <c r="X79" s="4"/>
      <c r="Y79" s="4"/>
      <c r="Z79" s="7"/>
      <c r="AA79" s="4"/>
      <c r="AB79" s="4"/>
      <c r="AC79" s="7"/>
      <c r="AD79" s="4"/>
      <c r="AE79" s="4"/>
      <c r="AF79" s="40"/>
      <c r="AG79" s="4"/>
    </row>
    <row r="80" spans="2:33" hidden="1" x14ac:dyDescent="0.25">
      <c r="B80" s="4"/>
      <c r="C80" s="14"/>
      <c r="D80" s="14"/>
      <c r="E80" s="15">
        <v>36</v>
      </c>
      <c r="F80" s="4"/>
      <c r="G80" s="4"/>
      <c r="H80" s="15">
        <f>SUM(H73:H79)</f>
        <v>48</v>
      </c>
      <c r="I80" s="15"/>
      <c r="J80" s="15"/>
      <c r="K80" s="15"/>
      <c r="L80" s="4"/>
      <c r="M80" s="4"/>
      <c r="N80" s="15">
        <f>SUM(N73:N79)</f>
        <v>48</v>
      </c>
      <c r="O80" s="4"/>
      <c r="P80" s="4"/>
      <c r="Q80" s="15">
        <f>SUM(Q73:Q79)</f>
        <v>48</v>
      </c>
      <c r="R80" s="4"/>
      <c r="S80" s="4"/>
      <c r="T80" s="15">
        <f>SUM(T73:T79)</f>
        <v>48</v>
      </c>
      <c r="U80" s="7"/>
      <c r="V80" s="7"/>
      <c r="W80" s="15">
        <f>SUM(W73:W79)</f>
        <v>46.5</v>
      </c>
      <c r="X80" s="4"/>
      <c r="Y80" s="4"/>
      <c r="Z80" s="15">
        <f>SUM(Z73:Z79)</f>
        <v>48</v>
      </c>
      <c r="AA80" s="4"/>
      <c r="AB80" s="4"/>
      <c r="AC80" s="17">
        <f>SUM(AC73:AC79)</f>
        <v>48</v>
      </c>
      <c r="AD80" s="4"/>
      <c r="AE80" s="4"/>
      <c r="AF80" s="40"/>
      <c r="AG80" s="89">
        <v>0</v>
      </c>
    </row>
    <row r="81" spans="2:33" hidden="1" x14ac:dyDescent="0.25"/>
    <row r="82" spans="2:33" hidden="1" x14ac:dyDescent="0.25">
      <c r="B82" s="8">
        <v>46076</v>
      </c>
      <c r="C82" s="22">
        <v>0.75</v>
      </c>
      <c r="D82" s="22">
        <v>0</v>
      </c>
      <c r="E82" s="10">
        <v>6</v>
      </c>
      <c r="F82" s="9">
        <v>0.33333333333333331</v>
      </c>
      <c r="G82" s="9">
        <v>0.75</v>
      </c>
      <c r="H82" s="10">
        <v>10</v>
      </c>
      <c r="I82" s="10"/>
      <c r="J82" s="10"/>
      <c r="K82" s="10"/>
      <c r="L82" s="9">
        <v>0.375</v>
      </c>
      <c r="M82" s="9">
        <v>0.75</v>
      </c>
      <c r="N82" s="10">
        <v>9</v>
      </c>
      <c r="O82" s="9">
        <v>0.33333333333333331</v>
      </c>
      <c r="P82" s="9">
        <v>0.66666666666666663</v>
      </c>
      <c r="Q82" s="10">
        <v>8</v>
      </c>
      <c r="R82" s="9">
        <v>0.375</v>
      </c>
      <c r="S82" s="9">
        <v>0.75</v>
      </c>
      <c r="T82" s="10">
        <v>9</v>
      </c>
      <c r="U82" s="9">
        <v>0.375</v>
      </c>
      <c r="V82" s="9">
        <v>0.77083333333333337</v>
      </c>
      <c r="W82" s="10">
        <v>9.5</v>
      </c>
      <c r="X82" s="9">
        <v>0.33333333333333331</v>
      </c>
      <c r="Y82" s="9">
        <v>0.66666666666666663</v>
      </c>
      <c r="Z82" s="10">
        <v>8</v>
      </c>
      <c r="AA82" s="9">
        <v>0.33333333333333331</v>
      </c>
      <c r="AB82" s="9">
        <v>0.70833333333333337</v>
      </c>
      <c r="AC82" s="10">
        <v>9</v>
      </c>
      <c r="AD82" s="9">
        <v>0.33333333333333331</v>
      </c>
      <c r="AE82" s="9">
        <v>0.73333333333333328</v>
      </c>
      <c r="AF82" s="40"/>
      <c r="AG82" s="4"/>
    </row>
    <row r="83" spans="2:33" hidden="1" x14ac:dyDescent="0.25">
      <c r="B83" s="8">
        <v>46077</v>
      </c>
      <c r="C83" s="22">
        <v>0.75</v>
      </c>
      <c r="D83" s="22">
        <v>0</v>
      </c>
      <c r="E83" s="10">
        <v>6</v>
      </c>
      <c r="F83" s="9">
        <v>0.375</v>
      </c>
      <c r="G83" s="9">
        <v>0.75</v>
      </c>
      <c r="H83" s="10">
        <v>9</v>
      </c>
      <c r="I83" s="10"/>
      <c r="J83" s="10"/>
      <c r="K83" s="10"/>
      <c r="L83" s="9">
        <v>0.375</v>
      </c>
      <c r="M83" s="9">
        <v>0.75</v>
      </c>
      <c r="N83" s="10">
        <v>9</v>
      </c>
      <c r="O83" s="9">
        <v>0.33333333333333331</v>
      </c>
      <c r="P83" s="9">
        <v>0.66666666666666663</v>
      </c>
      <c r="Q83" s="10">
        <v>8</v>
      </c>
      <c r="R83" s="9">
        <v>0.375</v>
      </c>
      <c r="S83" s="9">
        <v>0.75</v>
      </c>
      <c r="T83" s="10">
        <v>9</v>
      </c>
      <c r="U83" s="9">
        <v>0.375</v>
      </c>
      <c r="V83" s="9">
        <v>0.75</v>
      </c>
      <c r="W83" s="10">
        <v>9</v>
      </c>
      <c r="X83" s="9">
        <v>0.33333333333333331</v>
      </c>
      <c r="Y83" s="9">
        <v>0.66666666666666663</v>
      </c>
      <c r="Z83" s="10">
        <v>8</v>
      </c>
      <c r="AA83" s="9">
        <v>0.33333333333333331</v>
      </c>
      <c r="AB83" s="9">
        <v>0.66666666666666663</v>
      </c>
      <c r="AC83" s="10">
        <v>8</v>
      </c>
      <c r="AD83" s="9">
        <v>0.33333333333333331</v>
      </c>
      <c r="AE83" s="9">
        <v>0.73333333333333328</v>
      </c>
      <c r="AF83" s="40"/>
      <c r="AG83" s="4"/>
    </row>
    <row r="84" spans="2:33" hidden="1" x14ac:dyDescent="0.25">
      <c r="B84" s="8">
        <v>46078</v>
      </c>
      <c r="C84" s="22">
        <v>0.75</v>
      </c>
      <c r="D84" s="22">
        <v>0</v>
      </c>
      <c r="E84" s="10">
        <v>6</v>
      </c>
      <c r="F84" s="9">
        <v>0.375</v>
      </c>
      <c r="G84" s="9">
        <v>0.75</v>
      </c>
      <c r="H84" s="10">
        <v>9</v>
      </c>
      <c r="I84" s="10"/>
      <c r="J84" s="10"/>
      <c r="K84" s="10"/>
      <c r="L84" s="9">
        <v>0.33333333333333331</v>
      </c>
      <c r="M84" s="9">
        <v>0.75</v>
      </c>
      <c r="N84" s="10">
        <v>10</v>
      </c>
      <c r="O84" s="9">
        <v>0.33333333333333331</v>
      </c>
      <c r="P84" s="9">
        <v>0.66666666666666663</v>
      </c>
      <c r="Q84" s="10">
        <v>8</v>
      </c>
      <c r="R84" s="9">
        <v>0.33333333333333331</v>
      </c>
      <c r="S84" s="9">
        <v>0.75</v>
      </c>
      <c r="T84" s="10">
        <v>10</v>
      </c>
      <c r="U84" s="9">
        <v>0.375</v>
      </c>
      <c r="V84" s="9">
        <v>0.75</v>
      </c>
      <c r="W84" s="10">
        <v>9</v>
      </c>
      <c r="X84" s="9">
        <v>0.33333333333333331</v>
      </c>
      <c r="Y84" s="9">
        <v>0.66666666666666663</v>
      </c>
      <c r="Z84" s="10">
        <v>8</v>
      </c>
      <c r="AA84" s="9">
        <v>0.33333333333333331</v>
      </c>
      <c r="AB84" s="9">
        <v>0.70833333333333337</v>
      </c>
      <c r="AC84" s="10">
        <v>9</v>
      </c>
      <c r="AD84" s="9">
        <v>0.33333333333333331</v>
      </c>
      <c r="AE84" s="9">
        <v>0.73333333333333328</v>
      </c>
      <c r="AF84" s="40"/>
      <c r="AG84" s="4"/>
    </row>
    <row r="85" spans="2:33" hidden="1" x14ac:dyDescent="0.25">
      <c r="B85" s="8">
        <v>46079</v>
      </c>
      <c r="C85" s="22">
        <v>0.75</v>
      </c>
      <c r="D85" s="22">
        <v>0</v>
      </c>
      <c r="E85" s="10">
        <v>6</v>
      </c>
      <c r="F85" s="9">
        <v>0.33333333333333331</v>
      </c>
      <c r="G85" s="9">
        <v>0.75</v>
      </c>
      <c r="H85" s="10">
        <v>10</v>
      </c>
      <c r="I85" s="10"/>
      <c r="J85" s="10"/>
      <c r="K85" s="10"/>
      <c r="L85" s="9">
        <v>0.33333333333333331</v>
      </c>
      <c r="M85" s="9">
        <v>0.75</v>
      </c>
      <c r="N85" s="10">
        <v>10</v>
      </c>
      <c r="O85" s="9">
        <v>0.375</v>
      </c>
      <c r="P85" s="9">
        <v>0.66666666666666663</v>
      </c>
      <c r="Q85" s="10">
        <v>7</v>
      </c>
      <c r="R85" s="9">
        <v>0.33333333333333331</v>
      </c>
      <c r="S85" s="9">
        <v>0.75</v>
      </c>
      <c r="T85" s="10">
        <v>10</v>
      </c>
      <c r="U85" s="9">
        <v>0.375</v>
      </c>
      <c r="V85" s="9">
        <v>0.77083333333333337</v>
      </c>
      <c r="W85" s="10">
        <v>9.5</v>
      </c>
      <c r="X85" s="9">
        <v>0.375</v>
      </c>
      <c r="Y85" s="9">
        <v>0.66666666666666663</v>
      </c>
      <c r="Z85" s="10">
        <v>7</v>
      </c>
      <c r="AA85" s="9">
        <v>0.33333333333333331</v>
      </c>
      <c r="AB85" s="9">
        <v>0.70833333333333337</v>
      </c>
      <c r="AC85" s="10">
        <v>9</v>
      </c>
      <c r="AD85" s="9">
        <v>0.33333333333333331</v>
      </c>
      <c r="AE85" s="9">
        <v>0.73333333333333328</v>
      </c>
      <c r="AF85" s="40"/>
      <c r="AG85" s="4"/>
    </row>
    <row r="86" spans="2:33" hidden="1" x14ac:dyDescent="0.25">
      <c r="B86" s="8">
        <v>46080</v>
      </c>
      <c r="C86" s="22">
        <v>0.75</v>
      </c>
      <c r="D86" s="22">
        <v>0</v>
      </c>
      <c r="E86" s="10">
        <v>6</v>
      </c>
      <c r="F86" s="9">
        <v>0.33333333333333331</v>
      </c>
      <c r="G86" s="9">
        <v>0.75</v>
      </c>
      <c r="H86" s="10">
        <v>10</v>
      </c>
      <c r="I86" s="10"/>
      <c r="J86" s="10"/>
      <c r="K86" s="10"/>
      <c r="L86" s="9">
        <v>0.33333333333333331</v>
      </c>
      <c r="M86" s="9">
        <v>0.75</v>
      </c>
      <c r="N86" s="10">
        <v>10</v>
      </c>
      <c r="O86" s="9">
        <v>0.375</v>
      </c>
      <c r="P86" s="9">
        <v>0.66666666666666663</v>
      </c>
      <c r="Q86" s="10">
        <v>7</v>
      </c>
      <c r="R86" s="9">
        <v>0.33333333333333331</v>
      </c>
      <c r="S86" s="9">
        <v>0.75</v>
      </c>
      <c r="T86" s="10">
        <v>10</v>
      </c>
      <c r="U86" s="9">
        <v>0.375</v>
      </c>
      <c r="V86" s="9">
        <v>0.77083333333333337</v>
      </c>
      <c r="W86" s="10">
        <v>9.5</v>
      </c>
      <c r="X86" s="9">
        <v>0.375</v>
      </c>
      <c r="Y86" s="9">
        <v>0.66666666666666663</v>
      </c>
      <c r="Z86" s="10">
        <v>7</v>
      </c>
      <c r="AA86" s="9">
        <v>0.33333333333333331</v>
      </c>
      <c r="AB86" s="9">
        <v>0.70833333333333337</v>
      </c>
      <c r="AC86" s="10">
        <v>9</v>
      </c>
      <c r="AD86" s="9">
        <v>0.33333333333333331</v>
      </c>
      <c r="AE86" s="9">
        <v>0.73333333333333328</v>
      </c>
      <c r="AF86" s="40"/>
      <c r="AG86" s="4"/>
    </row>
    <row r="87" spans="2:33" hidden="1" x14ac:dyDescent="0.25">
      <c r="B87" s="8">
        <v>46081</v>
      </c>
      <c r="C87" s="22">
        <v>0.75</v>
      </c>
      <c r="D87" s="22">
        <v>0</v>
      </c>
      <c r="E87" s="10">
        <v>6</v>
      </c>
      <c r="F87" s="4"/>
      <c r="G87" s="4"/>
      <c r="H87" s="7"/>
      <c r="I87" s="7"/>
      <c r="J87" s="7"/>
      <c r="K87" s="7"/>
      <c r="L87" s="4"/>
      <c r="M87" s="4"/>
      <c r="N87" s="7"/>
      <c r="O87" s="31">
        <v>0.33333333333333331</v>
      </c>
      <c r="P87" s="31">
        <v>0.75</v>
      </c>
      <c r="Q87" s="10">
        <v>10</v>
      </c>
      <c r="R87" s="4"/>
      <c r="S87" s="4"/>
      <c r="T87" s="7"/>
      <c r="U87" s="7"/>
      <c r="V87" s="7"/>
      <c r="W87" s="7"/>
      <c r="X87" s="4"/>
      <c r="Y87" s="4"/>
      <c r="Z87" s="7"/>
      <c r="AA87" s="9">
        <v>0.33333333333333331</v>
      </c>
      <c r="AB87" s="9">
        <v>0.5</v>
      </c>
      <c r="AC87" s="10">
        <v>4</v>
      </c>
      <c r="AD87" s="4"/>
      <c r="AE87" s="4"/>
      <c r="AF87" s="40"/>
      <c r="AG87" s="4"/>
    </row>
    <row r="88" spans="2:33" hidden="1" x14ac:dyDescent="0.25">
      <c r="B88" s="8">
        <v>46082</v>
      </c>
      <c r="C88" s="22"/>
      <c r="D88" s="22"/>
      <c r="E88" s="22"/>
      <c r="F88" s="4"/>
      <c r="G88" s="4"/>
      <c r="H88" s="7"/>
      <c r="I88" s="7"/>
      <c r="J88" s="7"/>
      <c r="K88" s="7"/>
      <c r="L88" s="4"/>
      <c r="M88" s="4"/>
      <c r="N88" s="7"/>
      <c r="O88" s="4"/>
      <c r="P88" s="4"/>
      <c r="Q88" s="7"/>
      <c r="R88" s="4"/>
      <c r="S88" s="4"/>
      <c r="T88" s="7"/>
      <c r="U88" s="7"/>
      <c r="V88" s="7"/>
      <c r="W88" s="7"/>
      <c r="X88" s="31">
        <v>0.33333333333333331</v>
      </c>
      <c r="Y88" s="31">
        <v>0.75</v>
      </c>
      <c r="Z88" s="10">
        <v>10</v>
      </c>
      <c r="AA88" s="4"/>
      <c r="AB88" s="4"/>
      <c r="AC88" s="7"/>
      <c r="AD88" s="4"/>
      <c r="AE88" s="4"/>
      <c r="AF88" s="40"/>
      <c r="AG88" s="4"/>
    </row>
    <row r="89" spans="2:33" hidden="1" x14ac:dyDescent="0.25">
      <c r="B89" s="4"/>
      <c r="C89" s="14"/>
      <c r="D89" s="14"/>
      <c r="E89" s="15">
        <v>36</v>
      </c>
      <c r="F89" s="4"/>
      <c r="G89" s="4"/>
      <c r="H89" s="15">
        <f>SUM(H82:H88)</f>
        <v>48</v>
      </c>
      <c r="I89" s="15"/>
      <c r="J89" s="15"/>
      <c r="K89" s="15"/>
      <c r="L89" s="4"/>
      <c r="M89" s="4"/>
      <c r="N89" s="15">
        <f>SUM(N82:N88)</f>
        <v>48</v>
      </c>
      <c r="O89" s="4"/>
      <c r="P89" s="4"/>
      <c r="Q89" s="15">
        <f>SUM(Q82:Q88)</f>
        <v>48</v>
      </c>
      <c r="R89" s="4"/>
      <c r="S89" s="4"/>
      <c r="T89" s="15">
        <f>SUM(T82:T88)</f>
        <v>48</v>
      </c>
      <c r="U89" s="7"/>
      <c r="V89" s="7"/>
      <c r="W89" s="15">
        <f>SUM(W82:W88)</f>
        <v>46.5</v>
      </c>
      <c r="X89" s="4"/>
      <c r="Y89" s="4"/>
      <c r="Z89" s="15">
        <f>SUM(Z82:Z88)</f>
        <v>48</v>
      </c>
      <c r="AA89" s="4"/>
      <c r="AB89" s="4"/>
      <c r="AC89" s="17">
        <f>SUM(AC82:AC88)</f>
        <v>48</v>
      </c>
      <c r="AD89" s="4"/>
      <c r="AE89" s="4"/>
      <c r="AF89" s="40"/>
      <c r="AG89" s="89">
        <v>0</v>
      </c>
    </row>
    <row r="90" spans="2:33" hidden="1" x14ac:dyDescent="0.25"/>
    <row r="91" spans="2:33" hidden="1" x14ac:dyDescent="0.25">
      <c r="B91" s="8">
        <v>46083</v>
      </c>
      <c r="C91" s="22">
        <v>0.75</v>
      </c>
      <c r="D91" s="22">
        <v>0</v>
      </c>
      <c r="E91" s="10">
        <v>6</v>
      </c>
      <c r="F91" s="9">
        <v>0.33333333333333331</v>
      </c>
      <c r="G91" s="9">
        <v>0.66666666666666663</v>
      </c>
      <c r="H91" s="10">
        <v>8</v>
      </c>
      <c r="I91" s="10"/>
      <c r="J91" s="10"/>
      <c r="K91" s="10"/>
      <c r="L91" s="9">
        <v>0.375</v>
      </c>
      <c r="M91" s="9">
        <v>0.70833333333333337</v>
      </c>
      <c r="N91" s="10">
        <v>8</v>
      </c>
      <c r="O91" s="9">
        <v>0.375</v>
      </c>
      <c r="P91" s="9">
        <v>0.75</v>
      </c>
      <c r="Q91" s="10">
        <v>9</v>
      </c>
      <c r="R91" s="9">
        <v>0.33333333333333331</v>
      </c>
      <c r="S91" s="9">
        <v>0.75</v>
      </c>
      <c r="T91" s="10">
        <v>10</v>
      </c>
      <c r="U91" s="9">
        <v>0.375</v>
      </c>
      <c r="V91" s="9">
        <v>0.72916666666666663</v>
      </c>
      <c r="W91" s="10">
        <v>8.5</v>
      </c>
      <c r="X91" s="9">
        <v>0.33333333333333331</v>
      </c>
      <c r="Y91" s="9">
        <v>0.75</v>
      </c>
      <c r="Z91" s="10">
        <v>10</v>
      </c>
      <c r="AA91" s="9">
        <v>0.33333333333333331</v>
      </c>
      <c r="AB91" s="9">
        <v>0.75</v>
      </c>
      <c r="AC91" s="10">
        <v>10</v>
      </c>
      <c r="AD91" s="9">
        <v>0.33333333333333331</v>
      </c>
      <c r="AE91" s="9">
        <v>0.73333333333333328</v>
      </c>
      <c r="AF91" s="40"/>
      <c r="AG91" s="4"/>
    </row>
    <row r="92" spans="2:33" hidden="1" x14ac:dyDescent="0.25">
      <c r="B92" s="8">
        <v>46084</v>
      </c>
      <c r="C92" s="22">
        <v>0.75</v>
      </c>
      <c r="D92" s="22">
        <v>0</v>
      </c>
      <c r="E92" s="10">
        <v>6</v>
      </c>
      <c r="F92" s="9">
        <v>0.33333333333333331</v>
      </c>
      <c r="G92" s="9">
        <v>0.66666666666666663</v>
      </c>
      <c r="H92" s="10">
        <v>8</v>
      </c>
      <c r="I92" s="10"/>
      <c r="J92" s="10"/>
      <c r="K92" s="10"/>
      <c r="L92" s="9">
        <v>0.33333333333333331</v>
      </c>
      <c r="M92" s="9">
        <v>0.625</v>
      </c>
      <c r="N92" s="10">
        <v>7</v>
      </c>
      <c r="O92" s="9">
        <v>0.375</v>
      </c>
      <c r="P92" s="9">
        <v>0.75</v>
      </c>
      <c r="Q92" s="10">
        <v>9</v>
      </c>
      <c r="R92" s="35">
        <v>0.33333333333333331</v>
      </c>
      <c r="S92" s="35">
        <v>0.75</v>
      </c>
      <c r="T92" s="36">
        <v>10</v>
      </c>
      <c r="U92" s="9">
        <v>0.375</v>
      </c>
      <c r="V92" s="9">
        <v>0.72916666666666663</v>
      </c>
      <c r="W92" s="10">
        <v>8.5</v>
      </c>
      <c r="X92" s="9">
        <v>0.33333333333333331</v>
      </c>
      <c r="Y92" s="9">
        <v>0.75</v>
      </c>
      <c r="Z92" s="10">
        <v>10</v>
      </c>
      <c r="AA92" s="9">
        <v>0.33333333333333331</v>
      </c>
      <c r="AB92" s="9">
        <v>0.70833333333333337</v>
      </c>
      <c r="AC92" s="10">
        <v>9</v>
      </c>
      <c r="AD92" s="9">
        <v>0.33333333333333331</v>
      </c>
      <c r="AE92" s="9">
        <v>0.73333333333333328</v>
      </c>
      <c r="AF92" s="40"/>
      <c r="AG92" s="4"/>
    </row>
    <row r="93" spans="2:33" hidden="1" x14ac:dyDescent="0.25">
      <c r="B93" s="8">
        <v>46085</v>
      </c>
      <c r="C93" s="22">
        <v>0.75</v>
      </c>
      <c r="D93" s="22">
        <v>0</v>
      </c>
      <c r="E93" s="10">
        <v>6</v>
      </c>
      <c r="F93" s="9">
        <v>0.33333333333333331</v>
      </c>
      <c r="G93" s="9">
        <v>0.66666666666666663</v>
      </c>
      <c r="H93" s="10">
        <v>8</v>
      </c>
      <c r="I93" s="10"/>
      <c r="J93" s="10"/>
      <c r="K93" s="10"/>
      <c r="L93" s="9">
        <v>0.375</v>
      </c>
      <c r="M93" s="9">
        <v>0.70833333333333337</v>
      </c>
      <c r="N93" s="10">
        <v>8</v>
      </c>
      <c r="O93" s="9">
        <v>0.33333333333333331</v>
      </c>
      <c r="P93" s="9">
        <v>0.75</v>
      </c>
      <c r="Q93" s="10">
        <v>10</v>
      </c>
      <c r="R93" s="9">
        <v>0.375</v>
      </c>
      <c r="S93" s="9">
        <v>0.75</v>
      </c>
      <c r="T93" s="10">
        <v>9</v>
      </c>
      <c r="U93" s="9">
        <v>0.375</v>
      </c>
      <c r="V93" s="23">
        <v>0.75</v>
      </c>
      <c r="W93" s="24">
        <v>9</v>
      </c>
      <c r="X93" s="9">
        <v>0.375</v>
      </c>
      <c r="Y93" s="9">
        <v>0.75</v>
      </c>
      <c r="Z93" s="10">
        <v>9</v>
      </c>
      <c r="AA93" s="9">
        <v>0.33333333333333331</v>
      </c>
      <c r="AB93" s="9">
        <v>0.72916666666666663</v>
      </c>
      <c r="AC93" s="10">
        <v>9.5</v>
      </c>
      <c r="AD93" s="9">
        <v>0.33333333333333331</v>
      </c>
      <c r="AE93" s="9">
        <v>0.73333333333333328</v>
      </c>
      <c r="AF93" s="40"/>
      <c r="AG93" s="4"/>
    </row>
    <row r="94" spans="2:33" hidden="1" x14ac:dyDescent="0.25">
      <c r="B94" s="8">
        <v>46086</v>
      </c>
      <c r="C94" s="22">
        <v>0.75</v>
      </c>
      <c r="D94" s="22">
        <v>0</v>
      </c>
      <c r="E94" s="10">
        <v>6</v>
      </c>
      <c r="F94" s="9">
        <v>0.375</v>
      </c>
      <c r="G94" s="9">
        <v>0.66666666666666663</v>
      </c>
      <c r="H94" s="10">
        <v>7</v>
      </c>
      <c r="I94" s="10"/>
      <c r="J94" s="10"/>
      <c r="K94" s="10"/>
      <c r="L94" s="9">
        <v>0.33333333333333331</v>
      </c>
      <c r="M94" s="9">
        <v>0.625</v>
      </c>
      <c r="N94" s="10">
        <v>7</v>
      </c>
      <c r="O94" s="9">
        <v>0.33333333333333331</v>
      </c>
      <c r="P94" s="9">
        <v>0.75</v>
      </c>
      <c r="Q94" s="10">
        <v>10</v>
      </c>
      <c r="R94" s="35">
        <v>0.33333333333333331</v>
      </c>
      <c r="S94" s="35">
        <v>0.75</v>
      </c>
      <c r="T94" s="36">
        <v>10</v>
      </c>
      <c r="U94" s="9">
        <v>0.375</v>
      </c>
      <c r="V94" s="9">
        <v>0.72916666666666663</v>
      </c>
      <c r="W94" s="10">
        <v>8.5</v>
      </c>
      <c r="X94" s="9">
        <v>0.375</v>
      </c>
      <c r="Y94" s="9">
        <v>0.75</v>
      </c>
      <c r="Z94" s="10">
        <v>9</v>
      </c>
      <c r="AA94" s="9">
        <v>0.33333333333333331</v>
      </c>
      <c r="AB94" s="9">
        <v>0.72916666666666663</v>
      </c>
      <c r="AC94" s="10">
        <v>9.5</v>
      </c>
      <c r="AD94" s="9">
        <v>0.33333333333333331</v>
      </c>
      <c r="AE94" s="9">
        <v>0.73333333333333328</v>
      </c>
      <c r="AF94" s="40"/>
      <c r="AG94" s="4"/>
    </row>
    <row r="95" spans="2:33" hidden="1" x14ac:dyDescent="0.25">
      <c r="B95" s="8">
        <v>46087</v>
      </c>
      <c r="C95" s="22">
        <v>0.75</v>
      </c>
      <c r="D95" s="22">
        <v>0</v>
      </c>
      <c r="E95" s="10">
        <v>6</v>
      </c>
      <c r="F95" s="9">
        <v>0.375</v>
      </c>
      <c r="G95" s="9">
        <v>0.66666666666666663</v>
      </c>
      <c r="H95" s="10">
        <v>7</v>
      </c>
      <c r="I95" s="10"/>
      <c r="J95" s="10"/>
      <c r="K95" s="10"/>
      <c r="L95" s="9">
        <v>0.33333333333333331</v>
      </c>
      <c r="M95" s="9">
        <v>0.66666666666666663</v>
      </c>
      <c r="N95" s="10">
        <v>8</v>
      </c>
      <c r="O95" s="9">
        <v>0.33333333333333331</v>
      </c>
      <c r="P95" s="9">
        <v>0.75</v>
      </c>
      <c r="Q95" s="10">
        <v>10</v>
      </c>
      <c r="R95" s="9">
        <v>0.375</v>
      </c>
      <c r="S95" s="9">
        <v>0.75</v>
      </c>
      <c r="T95" s="10">
        <v>9</v>
      </c>
      <c r="U95" s="9">
        <v>0.375</v>
      </c>
      <c r="V95" s="23">
        <v>0.70833333333333337</v>
      </c>
      <c r="W95" s="24">
        <v>8</v>
      </c>
      <c r="X95" s="9">
        <v>0.33333333333333331</v>
      </c>
      <c r="Y95" s="9">
        <v>0.75</v>
      </c>
      <c r="Z95" s="10">
        <v>10</v>
      </c>
      <c r="AA95" s="35">
        <v>0.33333333333333331</v>
      </c>
      <c r="AB95" s="35">
        <v>0.75</v>
      </c>
      <c r="AC95" s="36">
        <v>10</v>
      </c>
      <c r="AD95" s="9">
        <v>0.33333333333333331</v>
      </c>
      <c r="AE95" s="9">
        <v>0.73333333333333328</v>
      </c>
      <c r="AF95" s="40"/>
      <c r="AG95" s="4"/>
    </row>
    <row r="96" spans="2:33" hidden="1" x14ac:dyDescent="0.25">
      <c r="B96" s="8">
        <v>46088</v>
      </c>
      <c r="C96" s="22">
        <v>0.75</v>
      </c>
      <c r="D96" s="22">
        <v>0</v>
      </c>
      <c r="E96" s="10">
        <v>6</v>
      </c>
      <c r="F96" s="4"/>
      <c r="G96" s="4"/>
      <c r="H96" s="7"/>
      <c r="I96" s="7"/>
      <c r="J96" s="7"/>
      <c r="K96" s="7"/>
      <c r="L96" s="31">
        <v>0.33333333333333331</v>
      </c>
      <c r="M96" s="31">
        <v>0.75</v>
      </c>
      <c r="N96" s="10">
        <v>10</v>
      </c>
      <c r="O96" s="31"/>
      <c r="P96" s="31"/>
      <c r="Q96" s="10"/>
      <c r="R96" s="4"/>
      <c r="S96" s="4"/>
      <c r="T96" s="7"/>
      <c r="U96" s="7"/>
      <c r="V96" s="7"/>
      <c r="W96" s="7"/>
      <c r="X96" s="4"/>
      <c r="Y96" s="4"/>
      <c r="Z96" s="7"/>
      <c r="AA96" s="9"/>
      <c r="AB96" s="9"/>
      <c r="AC96" s="10"/>
      <c r="AD96" s="4"/>
      <c r="AE96" s="4"/>
      <c r="AF96" s="40"/>
      <c r="AG96" s="4"/>
    </row>
    <row r="97" spans="2:33" hidden="1" x14ac:dyDescent="0.25">
      <c r="B97" s="8">
        <v>46089</v>
      </c>
      <c r="C97" s="22"/>
      <c r="D97" s="22"/>
      <c r="E97" s="22"/>
      <c r="F97" s="31">
        <v>0.33333333333333331</v>
      </c>
      <c r="G97" s="31">
        <v>0.75</v>
      </c>
      <c r="H97" s="10">
        <v>10</v>
      </c>
      <c r="I97" s="10"/>
      <c r="J97" s="10"/>
      <c r="K97" s="10"/>
      <c r="L97" s="4"/>
      <c r="M97" s="4"/>
      <c r="N97" s="7"/>
      <c r="O97" s="4"/>
      <c r="P97" s="4"/>
      <c r="Q97" s="7"/>
      <c r="R97" s="4"/>
      <c r="S97" s="4"/>
      <c r="T97" s="7"/>
      <c r="U97" s="31">
        <v>0.375</v>
      </c>
      <c r="V97" s="31">
        <v>0.54166666666666663</v>
      </c>
      <c r="W97" s="10">
        <v>4</v>
      </c>
      <c r="X97" s="31"/>
      <c r="Y97" s="31"/>
      <c r="Z97" s="10"/>
      <c r="AA97" s="4"/>
      <c r="AB97" s="4"/>
      <c r="AC97" s="7"/>
      <c r="AD97" s="4"/>
      <c r="AE97" s="4"/>
      <c r="AF97" s="40"/>
      <c r="AG97" s="4"/>
    </row>
    <row r="98" spans="2:33" hidden="1" x14ac:dyDescent="0.25">
      <c r="B98" s="4"/>
      <c r="C98" s="14"/>
      <c r="D98" s="14"/>
      <c r="E98" s="15">
        <v>36</v>
      </c>
      <c r="F98" s="4"/>
      <c r="G98" s="4"/>
      <c r="H98" s="15">
        <f>SUM(H91:H97)</f>
        <v>48</v>
      </c>
      <c r="I98" s="15"/>
      <c r="J98" s="15"/>
      <c r="K98" s="15"/>
      <c r="L98" s="4"/>
      <c r="M98" s="4"/>
      <c r="N98" s="15">
        <f>SUM(N91:N97)</f>
        <v>48</v>
      </c>
      <c r="O98" s="4"/>
      <c r="P98" s="4"/>
      <c r="Q98" s="15">
        <f>SUM(Q91:Q97)</f>
        <v>48</v>
      </c>
      <c r="R98" s="4"/>
      <c r="S98" s="4"/>
      <c r="T98" s="15">
        <f>SUM(T91:T97)</f>
        <v>48</v>
      </c>
      <c r="U98" s="7"/>
      <c r="V98" s="7"/>
      <c r="W98" s="15">
        <f>SUM(W91:W97)</f>
        <v>46.5</v>
      </c>
      <c r="X98" s="4"/>
      <c r="Y98" s="4"/>
      <c r="Z98" s="15">
        <f>SUM(Z91:Z97)</f>
        <v>48</v>
      </c>
      <c r="AA98" s="4"/>
      <c r="AB98" s="4"/>
      <c r="AC98" s="17">
        <f>SUM(AC91:AC97)</f>
        <v>48</v>
      </c>
      <c r="AD98" s="4"/>
      <c r="AE98" s="4"/>
      <c r="AF98" s="40"/>
      <c r="AG98" s="89">
        <v>0</v>
      </c>
    </row>
    <row r="99" spans="2:33" hidden="1" x14ac:dyDescent="0.25"/>
    <row r="100" spans="2:33" hidden="1" x14ac:dyDescent="0.25">
      <c r="B100" s="8">
        <v>46090</v>
      </c>
      <c r="C100" s="22">
        <v>0.75</v>
      </c>
      <c r="D100" s="22">
        <v>0</v>
      </c>
      <c r="E100" s="10">
        <v>6</v>
      </c>
      <c r="F100" s="9">
        <v>0.33333333333333331</v>
      </c>
      <c r="G100" s="9">
        <v>0.75</v>
      </c>
      <c r="H100" s="10">
        <v>10</v>
      </c>
      <c r="I100" s="9">
        <v>0.33333333333333331</v>
      </c>
      <c r="J100" s="9">
        <v>0.75</v>
      </c>
      <c r="K100" s="10">
        <v>10</v>
      </c>
      <c r="L100" s="9">
        <v>0.33333333333333331</v>
      </c>
      <c r="M100" s="9">
        <v>0.75</v>
      </c>
      <c r="N100" s="10">
        <v>10</v>
      </c>
      <c r="O100" s="9">
        <v>0.33333333333333331</v>
      </c>
      <c r="P100" s="9">
        <v>0.75</v>
      </c>
      <c r="Q100" s="10">
        <v>10</v>
      </c>
      <c r="R100" s="9">
        <v>0.375</v>
      </c>
      <c r="S100" s="9">
        <v>0.66666666666666663</v>
      </c>
      <c r="T100" s="10">
        <v>7</v>
      </c>
      <c r="U100" s="9">
        <v>0.375</v>
      </c>
      <c r="V100" s="9">
        <v>0.77083333333333337</v>
      </c>
      <c r="W100" s="10">
        <v>9.5</v>
      </c>
      <c r="X100" s="9">
        <v>0.33333333333333331</v>
      </c>
      <c r="Y100" s="9">
        <v>0.66666666666666663</v>
      </c>
      <c r="Z100" s="10">
        <v>8</v>
      </c>
      <c r="AA100" s="9">
        <v>0.33333333333333331</v>
      </c>
      <c r="AB100" s="9">
        <v>0.72916666666666663</v>
      </c>
      <c r="AC100" s="10">
        <v>9.5</v>
      </c>
      <c r="AD100" s="9">
        <v>0.33333333333333331</v>
      </c>
      <c r="AE100" s="9">
        <v>0.73333333333333328</v>
      </c>
      <c r="AF100" s="40"/>
      <c r="AG100" s="4"/>
    </row>
    <row r="101" spans="2:33" hidden="1" x14ac:dyDescent="0.25">
      <c r="B101" s="8">
        <v>46091</v>
      </c>
      <c r="C101" s="22">
        <v>0.75</v>
      </c>
      <c r="D101" s="22">
        <v>0</v>
      </c>
      <c r="E101" s="10">
        <v>6</v>
      </c>
      <c r="F101" s="9">
        <v>0.33333333333333331</v>
      </c>
      <c r="G101" s="9">
        <v>0.75</v>
      </c>
      <c r="H101" s="10">
        <v>10</v>
      </c>
      <c r="I101" s="9">
        <v>0.33333333333333331</v>
      </c>
      <c r="J101" s="9">
        <v>0.75</v>
      </c>
      <c r="K101" s="10">
        <v>10</v>
      </c>
      <c r="L101" s="9">
        <v>0.33333333333333331</v>
      </c>
      <c r="M101" s="9">
        <v>0.75</v>
      </c>
      <c r="N101" s="10">
        <v>10</v>
      </c>
      <c r="O101" s="9">
        <v>0.33333333333333331</v>
      </c>
      <c r="P101" s="9">
        <v>0.75</v>
      </c>
      <c r="Q101" s="10">
        <v>10</v>
      </c>
      <c r="R101" s="9">
        <v>0.375</v>
      </c>
      <c r="S101" s="9">
        <v>0.66666666666666663</v>
      </c>
      <c r="T101" s="10">
        <v>7</v>
      </c>
      <c r="U101" s="9">
        <v>0.375</v>
      </c>
      <c r="V101" s="9">
        <v>0.77083333333333337</v>
      </c>
      <c r="W101" s="10">
        <v>9.5</v>
      </c>
      <c r="X101" s="9">
        <v>0.33333333333333331</v>
      </c>
      <c r="Y101" s="9">
        <v>0.66666666666666663</v>
      </c>
      <c r="Z101" s="10">
        <v>8</v>
      </c>
      <c r="AA101" s="9">
        <v>0.33333333333333331</v>
      </c>
      <c r="AB101" s="9">
        <v>0.72916666666666663</v>
      </c>
      <c r="AC101" s="10">
        <v>9.5</v>
      </c>
      <c r="AD101" s="35">
        <v>0.33333333333333331</v>
      </c>
      <c r="AE101" s="35">
        <v>0.73333333333333328</v>
      </c>
      <c r="AF101" s="40"/>
      <c r="AG101" s="4"/>
    </row>
    <row r="102" spans="2:33" hidden="1" x14ac:dyDescent="0.25">
      <c r="B102" s="8">
        <v>46092</v>
      </c>
      <c r="C102" s="22">
        <v>0.75</v>
      </c>
      <c r="D102" s="22">
        <v>0</v>
      </c>
      <c r="E102" s="10">
        <v>6</v>
      </c>
      <c r="F102" s="9">
        <v>0.33333333333333331</v>
      </c>
      <c r="G102" s="9">
        <v>0.75</v>
      </c>
      <c r="H102" s="10">
        <v>10</v>
      </c>
      <c r="I102" s="9">
        <v>0.33333333333333331</v>
      </c>
      <c r="J102" s="9">
        <v>0.75</v>
      </c>
      <c r="K102" s="10">
        <v>10</v>
      </c>
      <c r="L102" s="9">
        <v>0.33333333333333331</v>
      </c>
      <c r="M102" s="9">
        <v>0.75</v>
      </c>
      <c r="N102" s="10">
        <v>10</v>
      </c>
      <c r="O102" s="9">
        <v>0.33333333333333331</v>
      </c>
      <c r="P102" s="9">
        <v>0.75</v>
      </c>
      <c r="Q102" s="10">
        <v>10</v>
      </c>
      <c r="R102" s="9">
        <v>0.33333333333333331</v>
      </c>
      <c r="S102" s="9">
        <v>0.66666666666666663</v>
      </c>
      <c r="T102" s="10">
        <v>8</v>
      </c>
      <c r="U102" s="9">
        <v>0.375</v>
      </c>
      <c r="V102" s="9">
        <v>0.77083333333333337</v>
      </c>
      <c r="W102" s="10">
        <v>9.5</v>
      </c>
      <c r="X102" s="9">
        <v>0.33333333333333331</v>
      </c>
      <c r="Y102" s="9">
        <v>0.66666666666666663</v>
      </c>
      <c r="Z102" s="10">
        <v>8</v>
      </c>
      <c r="AA102" s="9">
        <v>0.33333333333333331</v>
      </c>
      <c r="AB102" s="9">
        <v>0.72916666666666663</v>
      </c>
      <c r="AC102" s="10">
        <v>9.5</v>
      </c>
      <c r="AD102" s="9">
        <v>0.33333333333333331</v>
      </c>
      <c r="AE102" s="9">
        <v>0.73333333333333328</v>
      </c>
      <c r="AF102" s="40"/>
      <c r="AG102" s="4"/>
    </row>
    <row r="103" spans="2:33" hidden="1" x14ac:dyDescent="0.25">
      <c r="B103" s="8">
        <v>46093</v>
      </c>
      <c r="C103" s="22">
        <v>0.75</v>
      </c>
      <c r="D103" s="22">
        <v>0</v>
      </c>
      <c r="E103" s="10">
        <v>6</v>
      </c>
      <c r="F103" s="23">
        <v>0.33333333333333331</v>
      </c>
      <c r="G103" s="23">
        <v>0.66666666666666663</v>
      </c>
      <c r="H103" s="24">
        <v>8</v>
      </c>
      <c r="I103" s="23">
        <v>0.33333333333333331</v>
      </c>
      <c r="J103" s="23">
        <v>0.66666666666666663</v>
      </c>
      <c r="K103" s="10">
        <v>8</v>
      </c>
      <c r="L103" s="9">
        <v>0.33333333333333331</v>
      </c>
      <c r="M103" s="9">
        <v>0.75</v>
      </c>
      <c r="N103" s="10">
        <v>10</v>
      </c>
      <c r="O103" s="9">
        <v>0.375</v>
      </c>
      <c r="P103" s="9">
        <v>0.75</v>
      </c>
      <c r="Q103" s="10">
        <v>9</v>
      </c>
      <c r="R103" s="9">
        <v>0.33333333333333331</v>
      </c>
      <c r="S103" s="9">
        <v>0.66666666666666663</v>
      </c>
      <c r="T103" s="10">
        <v>8</v>
      </c>
      <c r="U103" s="9">
        <v>0.375</v>
      </c>
      <c r="V103" s="9">
        <v>0.75</v>
      </c>
      <c r="W103" s="10">
        <v>9</v>
      </c>
      <c r="X103" s="9">
        <v>0.375</v>
      </c>
      <c r="Y103" s="9">
        <v>0.66666666666666663</v>
      </c>
      <c r="Z103" s="10">
        <v>7</v>
      </c>
      <c r="AA103" s="35">
        <v>0.33333333333333331</v>
      </c>
      <c r="AB103" s="35">
        <v>0.72916666666666663</v>
      </c>
      <c r="AC103" s="36">
        <v>9.5</v>
      </c>
      <c r="AD103" s="9">
        <v>0.33333333333333331</v>
      </c>
      <c r="AE103" s="9">
        <v>0.73333333333333328</v>
      </c>
      <c r="AF103" s="40"/>
      <c r="AG103" s="4"/>
    </row>
    <row r="104" spans="2:33" hidden="1" x14ac:dyDescent="0.25">
      <c r="B104" s="8">
        <v>46094</v>
      </c>
      <c r="C104" s="22">
        <v>0.75</v>
      </c>
      <c r="D104" s="22">
        <v>0</v>
      </c>
      <c r="E104" s="10">
        <v>6</v>
      </c>
      <c r="F104" s="9">
        <v>0.33333333333333331</v>
      </c>
      <c r="G104" s="9">
        <v>0.75</v>
      </c>
      <c r="H104" s="10">
        <v>10</v>
      </c>
      <c r="I104" s="9">
        <v>0.33333333333333331</v>
      </c>
      <c r="J104" s="9">
        <v>0.75</v>
      </c>
      <c r="K104" s="10">
        <v>10</v>
      </c>
      <c r="L104" s="23">
        <v>0.29166666666666669</v>
      </c>
      <c r="M104" s="23">
        <v>0.625</v>
      </c>
      <c r="N104" s="24">
        <v>8</v>
      </c>
      <c r="O104" s="9">
        <v>0.375</v>
      </c>
      <c r="P104" s="9">
        <v>0.75</v>
      </c>
      <c r="Q104" s="10">
        <v>9</v>
      </c>
      <c r="R104" s="9">
        <v>0.33333333333333331</v>
      </c>
      <c r="S104" s="9">
        <v>0.66666666666666663</v>
      </c>
      <c r="T104" s="10">
        <v>8</v>
      </c>
      <c r="U104" s="9">
        <v>0.375</v>
      </c>
      <c r="V104" s="9">
        <v>0.75</v>
      </c>
      <c r="W104" s="10">
        <v>9</v>
      </c>
      <c r="X104" s="9">
        <v>0.375</v>
      </c>
      <c r="Y104" s="9">
        <v>0.66666666666666663</v>
      </c>
      <c r="Z104" s="10">
        <v>7</v>
      </c>
      <c r="AA104" s="35">
        <v>0.33333333333333331</v>
      </c>
      <c r="AB104" s="35">
        <v>0.75</v>
      </c>
      <c r="AC104" s="36">
        <v>10</v>
      </c>
      <c r="AD104" s="9">
        <v>0.33333333333333331</v>
      </c>
      <c r="AE104" s="9">
        <v>0.73333333333333328</v>
      </c>
      <c r="AF104" s="40"/>
      <c r="AG104" s="4"/>
    </row>
    <row r="105" spans="2:33" hidden="1" x14ac:dyDescent="0.25">
      <c r="B105" s="8">
        <v>46095</v>
      </c>
      <c r="C105" s="22">
        <v>0.75</v>
      </c>
      <c r="D105" s="22">
        <v>0</v>
      </c>
      <c r="E105" s="10">
        <v>6</v>
      </c>
      <c r="F105" s="9"/>
      <c r="G105" s="9"/>
      <c r="H105" s="10"/>
      <c r="I105" s="10"/>
      <c r="J105" s="10"/>
      <c r="K105" s="10"/>
      <c r="L105" s="4"/>
      <c r="M105" s="4"/>
      <c r="N105" s="7"/>
      <c r="O105" s="31"/>
      <c r="P105" s="31"/>
      <c r="Q105" s="10"/>
      <c r="R105" s="31">
        <v>0.33333333333333331</v>
      </c>
      <c r="S105" s="31">
        <v>0.75</v>
      </c>
      <c r="T105" s="10">
        <v>10</v>
      </c>
      <c r="U105" s="7"/>
      <c r="V105" s="7"/>
      <c r="W105" s="7"/>
      <c r="X105" s="4"/>
      <c r="Y105" s="4"/>
      <c r="Z105" s="7"/>
      <c r="AA105" s="9"/>
      <c r="AB105" s="9"/>
      <c r="AC105" s="10"/>
      <c r="AD105" s="4"/>
      <c r="AE105" s="4"/>
      <c r="AF105" s="40"/>
      <c r="AG105" s="4"/>
    </row>
    <row r="106" spans="2:33" hidden="1" x14ac:dyDescent="0.25">
      <c r="B106" s="8">
        <v>46096</v>
      </c>
      <c r="C106" s="22"/>
      <c r="D106" s="22"/>
      <c r="E106" s="22"/>
      <c r="F106" s="4"/>
      <c r="G106" s="4"/>
      <c r="H106" s="7"/>
      <c r="I106" s="7"/>
      <c r="J106" s="7"/>
      <c r="K106" s="7"/>
      <c r="L106" s="4"/>
      <c r="M106" s="4"/>
      <c r="N106" s="7"/>
      <c r="O106" s="4"/>
      <c r="P106" s="4"/>
      <c r="Q106" s="7"/>
      <c r="R106" s="4"/>
      <c r="S106" s="4"/>
      <c r="T106" s="7"/>
      <c r="U106" s="7"/>
      <c r="V106" s="7"/>
      <c r="W106" s="7"/>
      <c r="X106" s="31">
        <v>0.33333333333333331</v>
      </c>
      <c r="Y106" s="31">
        <v>0.75</v>
      </c>
      <c r="Z106" s="10">
        <v>10</v>
      </c>
      <c r="AA106" s="4"/>
      <c r="AB106" s="4"/>
      <c r="AC106" s="7"/>
      <c r="AD106" s="4"/>
      <c r="AE106" s="4"/>
      <c r="AF106" s="40"/>
      <c r="AG106" s="4"/>
    </row>
    <row r="107" spans="2:33" hidden="1" x14ac:dyDescent="0.25">
      <c r="B107" s="4"/>
      <c r="C107" s="14"/>
      <c r="D107" s="14"/>
      <c r="E107" s="15">
        <v>36</v>
      </c>
      <c r="F107" s="4"/>
      <c r="G107" s="4"/>
      <c r="H107" s="15">
        <f>SUM(H100:H106)</f>
        <v>48</v>
      </c>
      <c r="I107" s="15"/>
      <c r="J107" s="15"/>
      <c r="K107" s="15"/>
      <c r="L107" s="4"/>
      <c r="M107" s="4"/>
      <c r="N107" s="15">
        <f>SUM(N100:N106)</f>
        <v>48</v>
      </c>
      <c r="O107" s="4"/>
      <c r="P107" s="4"/>
      <c r="Q107" s="15">
        <f>SUM(Q100:Q106)</f>
        <v>48</v>
      </c>
      <c r="R107" s="4"/>
      <c r="S107" s="4"/>
      <c r="T107" s="15">
        <f>SUM(T100:T106)</f>
        <v>48</v>
      </c>
      <c r="U107" s="7"/>
      <c r="V107" s="7"/>
      <c r="W107" s="15">
        <f>SUM(W100:W106)</f>
        <v>46.5</v>
      </c>
      <c r="X107" s="4"/>
      <c r="Y107" s="4"/>
      <c r="Z107" s="15">
        <f>SUM(Z100:Z106)</f>
        <v>48</v>
      </c>
      <c r="AA107" s="4"/>
      <c r="AB107" s="4"/>
      <c r="AC107" s="17">
        <f>SUM(AC100:AC106)</f>
        <v>48</v>
      </c>
      <c r="AD107" s="4"/>
      <c r="AE107" s="4"/>
      <c r="AF107" s="40"/>
      <c r="AG107" s="89">
        <v>0</v>
      </c>
    </row>
    <row r="108" spans="2:33" hidden="1" x14ac:dyDescent="0.25"/>
    <row r="109" spans="2:33" hidden="1" x14ac:dyDescent="0.25">
      <c r="B109" s="8">
        <v>46097</v>
      </c>
      <c r="C109" s="22">
        <v>0.75</v>
      </c>
      <c r="D109" s="22">
        <v>0</v>
      </c>
      <c r="E109" s="10">
        <v>6</v>
      </c>
      <c r="F109" s="9">
        <v>0.33333333333333331</v>
      </c>
      <c r="G109" s="9">
        <v>0.75</v>
      </c>
      <c r="H109" s="10">
        <v>10</v>
      </c>
      <c r="I109" s="9">
        <v>0.33333333333333331</v>
      </c>
      <c r="J109" s="9">
        <v>0.75</v>
      </c>
      <c r="K109" s="10">
        <v>10</v>
      </c>
      <c r="L109" s="23">
        <v>0.33333333333333331</v>
      </c>
      <c r="M109" s="23">
        <v>0.66666666666666663</v>
      </c>
      <c r="N109" s="24">
        <v>8</v>
      </c>
      <c r="O109" s="9">
        <v>0.33333333333333331</v>
      </c>
      <c r="P109" s="9">
        <v>0.66666666666666663</v>
      </c>
      <c r="Q109" s="10">
        <v>8</v>
      </c>
      <c r="R109" s="9">
        <v>0.375</v>
      </c>
      <c r="S109" s="9">
        <v>0.75</v>
      </c>
      <c r="T109" s="10">
        <v>9</v>
      </c>
      <c r="U109" s="11">
        <v>0.375</v>
      </c>
      <c r="V109" s="11">
        <v>0.6875</v>
      </c>
      <c r="W109" s="12">
        <v>7.5</v>
      </c>
      <c r="X109" s="9">
        <v>0.33333333333333331</v>
      </c>
      <c r="Y109" s="9">
        <v>0.91666666666666663</v>
      </c>
      <c r="Z109" s="10">
        <v>14</v>
      </c>
      <c r="AA109" s="9">
        <v>0.33333333333333331</v>
      </c>
      <c r="AB109" s="9">
        <v>0.66666666666666663</v>
      </c>
      <c r="AC109" s="10">
        <v>8</v>
      </c>
      <c r="AD109" s="35">
        <v>0.33333333333333331</v>
      </c>
      <c r="AE109" s="35">
        <v>0.73333333333333328</v>
      </c>
      <c r="AF109" s="40"/>
      <c r="AG109" s="4"/>
    </row>
    <row r="110" spans="2:33" hidden="1" x14ac:dyDescent="0.25">
      <c r="B110" s="8">
        <v>46098</v>
      </c>
      <c r="C110" s="22">
        <v>0.75</v>
      </c>
      <c r="D110" s="22">
        <v>0</v>
      </c>
      <c r="E110" s="10">
        <v>6</v>
      </c>
      <c r="F110" s="9">
        <v>0.375</v>
      </c>
      <c r="G110" s="9">
        <v>0.75</v>
      </c>
      <c r="H110" s="10">
        <v>9</v>
      </c>
      <c r="I110" s="9">
        <v>0.375</v>
      </c>
      <c r="J110" s="9">
        <v>0.75</v>
      </c>
      <c r="K110" s="10">
        <v>9</v>
      </c>
      <c r="L110" s="23">
        <v>0.33333333333333331</v>
      </c>
      <c r="M110" s="23">
        <v>0.66666666666666663</v>
      </c>
      <c r="N110" s="24">
        <v>8</v>
      </c>
      <c r="O110" s="9">
        <v>0.375</v>
      </c>
      <c r="P110" s="9">
        <v>0.66666666666666663</v>
      </c>
      <c r="Q110" s="10">
        <v>7</v>
      </c>
      <c r="R110" s="35">
        <v>0.33333333333333331</v>
      </c>
      <c r="S110" s="35">
        <v>0.75</v>
      </c>
      <c r="T110" s="36">
        <v>10</v>
      </c>
      <c r="U110" s="11">
        <v>0.375</v>
      </c>
      <c r="V110" s="11">
        <v>0.6875</v>
      </c>
      <c r="W110" s="12">
        <v>7.5</v>
      </c>
      <c r="X110" s="9">
        <v>0.33333333333333331</v>
      </c>
      <c r="Y110" s="9">
        <v>0.75</v>
      </c>
      <c r="Z110" s="10">
        <v>10</v>
      </c>
      <c r="AA110" s="9">
        <v>0.33333333333333331</v>
      </c>
      <c r="AB110" s="9">
        <v>0.75</v>
      </c>
      <c r="AC110" s="10">
        <v>10</v>
      </c>
      <c r="AD110" s="35">
        <v>0.33333333333333331</v>
      </c>
      <c r="AE110" s="35">
        <v>0.73333333333333328</v>
      </c>
      <c r="AF110" s="40"/>
      <c r="AG110" s="4"/>
    </row>
    <row r="111" spans="2:33" hidden="1" x14ac:dyDescent="0.25">
      <c r="B111" s="8">
        <v>46099</v>
      </c>
      <c r="C111" s="22">
        <v>0.75</v>
      </c>
      <c r="D111" s="22">
        <v>0</v>
      </c>
      <c r="E111" s="10">
        <v>6</v>
      </c>
      <c r="F111" s="99">
        <v>0.33333333333333331</v>
      </c>
      <c r="G111" s="99">
        <v>0.70833333333333337</v>
      </c>
      <c r="H111" s="100">
        <v>9</v>
      </c>
      <c r="I111" s="99">
        <v>0.33333333333333331</v>
      </c>
      <c r="J111" s="99">
        <v>0.70833333333333337</v>
      </c>
      <c r="K111" s="100">
        <v>9</v>
      </c>
      <c r="L111" s="23">
        <v>0.33333333333333331</v>
      </c>
      <c r="M111" s="23">
        <v>0.66666666666666663</v>
      </c>
      <c r="N111" s="24">
        <v>8</v>
      </c>
      <c r="O111" s="9">
        <v>0.375</v>
      </c>
      <c r="P111" s="9">
        <v>0.66666666666666663</v>
      </c>
      <c r="Q111" s="10">
        <v>7</v>
      </c>
      <c r="R111" s="11">
        <v>0.33333333333333331</v>
      </c>
      <c r="S111" s="11">
        <v>0.75</v>
      </c>
      <c r="T111" s="12">
        <v>10</v>
      </c>
      <c r="U111" s="11">
        <v>0.375</v>
      </c>
      <c r="V111" s="11">
        <v>0.70833333333333337</v>
      </c>
      <c r="W111" s="12">
        <v>8</v>
      </c>
      <c r="X111" s="9">
        <v>0.33333333333333331</v>
      </c>
      <c r="Y111" s="9">
        <v>0.625</v>
      </c>
      <c r="Z111" s="10">
        <v>7</v>
      </c>
      <c r="AA111" s="35">
        <v>0.33333333333333331</v>
      </c>
      <c r="AB111" s="35">
        <v>0.75</v>
      </c>
      <c r="AC111" s="36">
        <v>10</v>
      </c>
      <c r="AD111" s="9">
        <v>0.33333333333333331</v>
      </c>
      <c r="AE111" s="9">
        <v>0.73333333333333328</v>
      </c>
      <c r="AF111" s="40"/>
      <c r="AG111" s="4"/>
    </row>
    <row r="112" spans="2:33" hidden="1" x14ac:dyDescent="0.25">
      <c r="B112" s="8">
        <v>46100</v>
      </c>
      <c r="C112" s="22">
        <v>0.75</v>
      </c>
      <c r="D112" s="22">
        <v>0</v>
      </c>
      <c r="E112" s="10">
        <v>6</v>
      </c>
      <c r="F112" s="9">
        <v>0.33333333333333331</v>
      </c>
      <c r="G112" s="9">
        <v>0.75</v>
      </c>
      <c r="H112" s="10">
        <v>10</v>
      </c>
      <c r="I112" s="9">
        <v>0.33333333333333331</v>
      </c>
      <c r="J112" s="9">
        <v>0.75</v>
      </c>
      <c r="K112" s="10">
        <v>10</v>
      </c>
      <c r="L112" s="9">
        <v>0.375</v>
      </c>
      <c r="M112" s="9">
        <v>0.66666666666666663</v>
      </c>
      <c r="N112" s="10">
        <v>7</v>
      </c>
      <c r="O112" s="9">
        <v>0.33333333333333331</v>
      </c>
      <c r="P112" s="9">
        <v>0.66666666666666663</v>
      </c>
      <c r="Q112" s="10">
        <v>8</v>
      </c>
      <c r="R112" s="9">
        <v>0.375</v>
      </c>
      <c r="S112" s="9">
        <v>0.75</v>
      </c>
      <c r="T112" s="10">
        <v>9</v>
      </c>
      <c r="U112" s="11">
        <v>0.375</v>
      </c>
      <c r="V112" s="11">
        <v>0.70833333333333337</v>
      </c>
      <c r="W112" s="12">
        <v>8</v>
      </c>
      <c r="X112" s="23">
        <v>0.33333333333333331</v>
      </c>
      <c r="Y112" s="23">
        <v>0.66666666666666663</v>
      </c>
      <c r="Z112" s="24">
        <v>8</v>
      </c>
      <c r="AA112" s="9">
        <v>0.33333333333333331</v>
      </c>
      <c r="AB112" s="9">
        <v>0.75</v>
      </c>
      <c r="AC112" s="10">
        <v>10</v>
      </c>
      <c r="AD112" s="9">
        <v>0.33333333333333331</v>
      </c>
      <c r="AE112" s="9">
        <v>0.73333333333333328</v>
      </c>
      <c r="AF112" s="40"/>
      <c r="AG112" s="4"/>
    </row>
    <row r="113" spans="2:33" hidden="1" x14ac:dyDescent="0.25">
      <c r="B113" s="8">
        <v>46101</v>
      </c>
      <c r="C113" s="22">
        <v>0.75</v>
      </c>
      <c r="D113" s="22">
        <v>0</v>
      </c>
      <c r="E113" s="10">
        <v>6</v>
      </c>
      <c r="F113" s="9">
        <v>0.33333333333333331</v>
      </c>
      <c r="G113" s="9">
        <v>0.75</v>
      </c>
      <c r="H113" s="10">
        <v>10</v>
      </c>
      <c r="I113" s="9">
        <v>0.33333333333333331</v>
      </c>
      <c r="J113" s="9">
        <v>0.75</v>
      </c>
      <c r="K113" s="10">
        <v>10</v>
      </c>
      <c r="L113" s="9">
        <v>0.375</v>
      </c>
      <c r="M113" s="9">
        <v>0.66666666666666663</v>
      </c>
      <c r="N113" s="10">
        <v>7</v>
      </c>
      <c r="O113" s="9">
        <v>0.33333333333333331</v>
      </c>
      <c r="P113" s="9">
        <v>0.66666666666666663</v>
      </c>
      <c r="Q113" s="10">
        <v>8</v>
      </c>
      <c r="R113" s="9">
        <v>0.33333333333333331</v>
      </c>
      <c r="S113" s="9">
        <v>0.75</v>
      </c>
      <c r="T113" s="10">
        <v>10</v>
      </c>
      <c r="U113" s="11">
        <v>0.375</v>
      </c>
      <c r="V113" s="11">
        <v>0.70833333333333337</v>
      </c>
      <c r="W113" s="12">
        <v>8</v>
      </c>
      <c r="X113" s="23">
        <v>0.33333333333333331</v>
      </c>
      <c r="Y113" s="23">
        <v>0.66666666666666663</v>
      </c>
      <c r="Z113" s="24">
        <v>8</v>
      </c>
      <c r="AA113" s="9">
        <v>0.33333333333333331</v>
      </c>
      <c r="AB113" s="9">
        <v>0.75</v>
      </c>
      <c r="AC113" s="10">
        <v>10</v>
      </c>
      <c r="AD113" s="9">
        <v>0.33333333333333331</v>
      </c>
      <c r="AE113" s="9">
        <v>0.73333333333333328</v>
      </c>
      <c r="AF113" s="40"/>
      <c r="AG113" s="4"/>
    </row>
    <row r="114" spans="2:33" hidden="1" x14ac:dyDescent="0.25">
      <c r="B114" s="8">
        <v>46102</v>
      </c>
      <c r="C114" s="22">
        <v>0.75</v>
      </c>
      <c r="D114" s="22">
        <v>0</v>
      </c>
      <c r="E114" s="10">
        <v>6</v>
      </c>
      <c r="F114" s="4"/>
      <c r="G114" s="4"/>
      <c r="H114" s="7"/>
      <c r="I114" s="7"/>
      <c r="J114" s="7"/>
      <c r="K114" s="7"/>
      <c r="L114" s="4"/>
      <c r="M114" s="4"/>
      <c r="N114" s="7"/>
      <c r="O114" s="31">
        <v>0.33333333333333331</v>
      </c>
      <c r="P114" s="31">
        <v>0.75</v>
      </c>
      <c r="Q114" s="10">
        <v>10</v>
      </c>
      <c r="R114" s="4"/>
      <c r="S114" s="4"/>
      <c r="T114" s="7"/>
      <c r="U114" s="31"/>
      <c r="V114" s="31"/>
      <c r="W114" s="12"/>
      <c r="X114" s="4"/>
      <c r="Y114" s="4"/>
      <c r="Z114" s="7"/>
      <c r="AA114" s="9"/>
      <c r="AB114" s="9"/>
      <c r="AC114" s="10"/>
      <c r="AD114" s="4"/>
      <c r="AE114" s="4"/>
      <c r="AF114" s="40"/>
      <c r="AG114" s="4"/>
    </row>
    <row r="115" spans="2:33" hidden="1" x14ac:dyDescent="0.25">
      <c r="B115" s="8">
        <v>46103</v>
      </c>
      <c r="C115" s="22"/>
      <c r="D115" s="22"/>
      <c r="E115" s="22"/>
      <c r="F115" s="4"/>
      <c r="G115" s="4"/>
      <c r="H115" s="7"/>
      <c r="I115" s="7"/>
      <c r="J115" s="7"/>
      <c r="K115" s="7"/>
      <c r="L115" s="31">
        <v>0.33333333333333331</v>
      </c>
      <c r="M115" s="31">
        <v>0.75</v>
      </c>
      <c r="N115" s="10">
        <v>10</v>
      </c>
      <c r="O115" s="4"/>
      <c r="P115" s="4"/>
      <c r="Q115" s="7"/>
      <c r="R115" s="4"/>
      <c r="S115" s="4"/>
      <c r="T115" s="7"/>
      <c r="U115" s="31">
        <v>0.375</v>
      </c>
      <c r="V115" s="31">
        <v>0.70833333333333337</v>
      </c>
      <c r="W115" s="12">
        <v>8</v>
      </c>
      <c r="X115" s="31"/>
      <c r="Y115" s="31"/>
      <c r="Z115" s="10"/>
      <c r="AA115" s="4"/>
      <c r="AB115" s="4"/>
      <c r="AC115" s="7"/>
      <c r="AD115" s="4"/>
      <c r="AE115" s="4"/>
      <c r="AF115" s="40"/>
      <c r="AG115" s="4"/>
    </row>
    <row r="116" spans="2:33" hidden="1" x14ac:dyDescent="0.25">
      <c r="B116" s="4"/>
      <c r="C116" s="14"/>
      <c r="D116" s="14"/>
      <c r="E116" s="15">
        <v>36</v>
      </c>
      <c r="F116" s="4"/>
      <c r="G116" s="4"/>
      <c r="H116" s="15">
        <f>SUM(H109:H115)</f>
        <v>48</v>
      </c>
      <c r="I116" s="15"/>
      <c r="J116" s="15"/>
      <c r="K116" s="15"/>
      <c r="L116" s="4"/>
      <c r="M116" s="4"/>
      <c r="N116" s="15">
        <f>SUM(N109:N115)</f>
        <v>48</v>
      </c>
      <c r="O116" s="4"/>
      <c r="P116" s="4"/>
      <c r="Q116" s="15">
        <f>SUM(Q109:Q115)</f>
        <v>48</v>
      </c>
      <c r="R116" s="4"/>
      <c r="S116" s="4"/>
      <c r="T116" s="15">
        <f>SUM(T109:T115)</f>
        <v>48</v>
      </c>
      <c r="U116" s="19"/>
      <c r="V116" s="19"/>
      <c r="W116" s="15">
        <f>SUM(W109:W115)</f>
        <v>47</v>
      </c>
      <c r="X116" s="4"/>
      <c r="Y116" s="4"/>
      <c r="Z116" s="15">
        <f>SUM(Z109:Z115)</f>
        <v>47</v>
      </c>
      <c r="AA116" s="4"/>
      <c r="AB116" s="4"/>
      <c r="AC116" s="17">
        <f>SUM(AC109:AC115)</f>
        <v>48</v>
      </c>
      <c r="AD116" s="4"/>
      <c r="AE116" s="4"/>
      <c r="AF116" s="40"/>
      <c r="AG116" s="89">
        <v>0</v>
      </c>
    </row>
    <row r="117" spans="2:33" hidden="1" x14ac:dyDescent="0.25"/>
    <row r="118" spans="2:33" hidden="1" x14ac:dyDescent="0.25">
      <c r="B118" s="8">
        <v>46104</v>
      </c>
      <c r="C118" s="22">
        <v>0.75</v>
      </c>
      <c r="D118" s="22">
        <v>0</v>
      </c>
      <c r="E118" s="10">
        <v>6</v>
      </c>
      <c r="F118" s="9">
        <v>0.33333333333333331</v>
      </c>
      <c r="G118" s="9">
        <v>0.66666666666666663</v>
      </c>
      <c r="H118" s="10">
        <v>8</v>
      </c>
      <c r="I118" s="9">
        <v>0.33333333333333331</v>
      </c>
      <c r="J118" s="9">
        <v>0.66666666666666663</v>
      </c>
      <c r="K118" s="10">
        <v>8</v>
      </c>
      <c r="L118" s="9">
        <v>0.375</v>
      </c>
      <c r="M118" s="9">
        <v>0.75</v>
      </c>
      <c r="N118" s="10">
        <v>9</v>
      </c>
      <c r="O118" s="9">
        <v>0.375</v>
      </c>
      <c r="P118" s="9">
        <v>0.75</v>
      </c>
      <c r="Q118" s="10">
        <v>9</v>
      </c>
      <c r="R118" s="9">
        <v>0.33333333333333331</v>
      </c>
      <c r="S118" s="9">
        <v>0.75</v>
      </c>
      <c r="T118" s="10">
        <v>10</v>
      </c>
      <c r="U118" s="9">
        <v>0.375</v>
      </c>
      <c r="V118" s="9">
        <v>0.72916666666666663</v>
      </c>
      <c r="W118" s="10">
        <v>8.5</v>
      </c>
      <c r="X118" s="23">
        <v>0.33333333333333331</v>
      </c>
      <c r="Y118" s="23">
        <v>0.66666666666666663</v>
      </c>
      <c r="Z118" s="24">
        <v>8</v>
      </c>
      <c r="AA118" s="9">
        <v>0.33333333333333331</v>
      </c>
      <c r="AB118" s="9">
        <v>0.70833333333333337</v>
      </c>
      <c r="AC118" s="10">
        <v>9</v>
      </c>
      <c r="AD118" s="9">
        <v>0.33333333333333331</v>
      </c>
      <c r="AE118" s="9">
        <v>0.73333333333333328</v>
      </c>
      <c r="AF118" s="40"/>
      <c r="AG118" s="4"/>
    </row>
    <row r="119" spans="2:33" hidden="1" x14ac:dyDescent="0.25">
      <c r="B119" s="8">
        <v>46105</v>
      </c>
      <c r="C119" s="22">
        <v>0.75</v>
      </c>
      <c r="D119" s="22">
        <v>0</v>
      </c>
      <c r="E119" s="10">
        <v>6</v>
      </c>
      <c r="F119" s="9">
        <v>0.33333333333333331</v>
      </c>
      <c r="G119" s="9">
        <v>0.66666666666666663</v>
      </c>
      <c r="H119" s="10">
        <v>8</v>
      </c>
      <c r="I119" s="9">
        <v>0.33333333333333331</v>
      </c>
      <c r="J119" s="9">
        <v>0.66666666666666663</v>
      </c>
      <c r="K119" s="10">
        <v>8</v>
      </c>
      <c r="L119" s="9">
        <v>0.375</v>
      </c>
      <c r="M119" s="9">
        <v>0.75</v>
      </c>
      <c r="N119" s="10">
        <v>9</v>
      </c>
      <c r="O119" s="9">
        <v>0.375</v>
      </c>
      <c r="P119" s="9">
        <v>0.75</v>
      </c>
      <c r="Q119" s="10">
        <v>9</v>
      </c>
      <c r="R119" s="9">
        <v>0.33333333333333331</v>
      </c>
      <c r="S119" s="9">
        <v>0.75</v>
      </c>
      <c r="T119" s="10">
        <v>10</v>
      </c>
      <c r="U119" s="9">
        <v>0.375</v>
      </c>
      <c r="V119" s="9">
        <v>0.72916666666666663</v>
      </c>
      <c r="W119" s="10">
        <v>8.5</v>
      </c>
      <c r="X119" s="23">
        <v>0.33333333333333331</v>
      </c>
      <c r="Y119" s="23">
        <v>0.66666666666666663</v>
      </c>
      <c r="Z119" s="24">
        <v>8</v>
      </c>
      <c r="AA119" s="9">
        <v>0.33333333333333331</v>
      </c>
      <c r="AB119" s="9">
        <v>0.70833333333333337</v>
      </c>
      <c r="AC119" s="10">
        <v>9</v>
      </c>
      <c r="AD119" s="9">
        <v>0.33333333333333331</v>
      </c>
      <c r="AE119" s="9">
        <v>0.73333333333333328</v>
      </c>
      <c r="AF119" s="40"/>
      <c r="AG119" s="4"/>
    </row>
    <row r="120" spans="2:33" hidden="1" x14ac:dyDescent="0.25">
      <c r="B120" s="8">
        <v>46106</v>
      </c>
      <c r="C120" s="22">
        <v>0.75</v>
      </c>
      <c r="D120" s="22">
        <v>0</v>
      </c>
      <c r="E120" s="10">
        <v>6</v>
      </c>
      <c r="F120" s="9">
        <v>0.33333333333333331</v>
      </c>
      <c r="G120" s="9">
        <v>0.66666666666666663</v>
      </c>
      <c r="H120" s="10">
        <v>8</v>
      </c>
      <c r="I120" s="101">
        <v>0.33333333333333331</v>
      </c>
      <c r="J120" s="101">
        <v>0.66666666666666663</v>
      </c>
      <c r="K120" s="10">
        <v>8</v>
      </c>
      <c r="L120" s="9">
        <v>0.33333333333333331</v>
      </c>
      <c r="M120" s="9">
        <v>0.75</v>
      </c>
      <c r="N120" s="10">
        <v>10</v>
      </c>
      <c r="O120" s="9">
        <v>0.33333333333333331</v>
      </c>
      <c r="P120" s="9">
        <v>0.75</v>
      </c>
      <c r="Q120" s="10">
        <v>10</v>
      </c>
      <c r="R120" s="9">
        <v>0.33333333333333331</v>
      </c>
      <c r="S120" s="9">
        <v>0.75</v>
      </c>
      <c r="T120" s="10">
        <v>10</v>
      </c>
      <c r="U120" s="9">
        <v>0.375</v>
      </c>
      <c r="V120" s="9">
        <v>0.72916666666666663</v>
      </c>
      <c r="W120" s="10">
        <v>8.5</v>
      </c>
      <c r="X120" s="9">
        <v>0.33333333333333331</v>
      </c>
      <c r="Y120" s="9">
        <v>0.66666666666666663</v>
      </c>
      <c r="Z120" s="10">
        <v>8</v>
      </c>
      <c r="AA120" s="9">
        <v>0.33333333333333331</v>
      </c>
      <c r="AB120" s="9">
        <v>0.70833333333333337</v>
      </c>
      <c r="AC120" s="10">
        <v>9</v>
      </c>
      <c r="AD120" s="9">
        <v>0.33333333333333331</v>
      </c>
      <c r="AE120" s="9">
        <v>0.73333333333333328</v>
      </c>
      <c r="AF120" s="40"/>
      <c r="AG120" s="4"/>
    </row>
    <row r="121" spans="2:33" hidden="1" x14ac:dyDescent="0.25">
      <c r="B121" s="8">
        <v>46107</v>
      </c>
      <c r="C121" s="22">
        <v>0.75</v>
      </c>
      <c r="D121" s="22">
        <v>0</v>
      </c>
      <c r="E121" s="10">
        <v>6</v>
      </c>
      <c r="F121" s="9">
        <v>0.375</v>
      </c>
      <c r="G121" s="9">
        <v>0.66666666666666663</v>
      </c>
      <c r="H121" s="10">
        <v>7</v>
      </c>
      <c r="I121" s="9">
        <v>0.375</v>
      </c>
      <c r="J121" s="9">
        <v>0.66666666666666663</v>
      </c>
      <c r="K121" s="10">
        <v>7</v>
      </c>
      <c r="L121" s="9">
        <v>0.33333333333333331</v>
      </c>
      <c r="M121" s="9">
        <v>0.75</v>
      </c>
      <c r="N121" s="10">
        <v>10</v>
      </c>
      <c r="O121" s="9">
        <v>0.33333333333333331</v>
      </c>
      <c r="P121" s="9">
        <v>0.75</v>
      </c>
      <c r="Q121" s="10">
        <v>10</v>
      </c>
      <c r="R121" s="9">
        <v>0.375</v>
      </c>
      <c r="S121" s="9">
        <v>0.75</v>
      </c>
      <c r="T121" s="10">
        <v>9</v>
      </c>
      <c r="U121" s="9">
        <v>0.375</v>
      </c>
      <c r="V121" s="9">
        <v>0.72916666666666663</v>
      </c>
      <c r="W121" s="10">
        <v>8.5</v>
      </c>
      <c r="X121" s="9">
        <v>0.375</v>
      </c>
      <c r="Y121" s="9">
        <v>0.66666666666666663</v>
      </c>
      <c r="Z121" s="10">
        <v>7</v>
      </c>
      <c r="AA121" s="9">
        <v>0.33333333333333331</v>
      </c>
      <c r="AB121" s="9">
        <v>0.66666666666666663</v>
      </c>
      <c r="AC121" s="10">
        <v>8</v>
      </c>
      <c r="AD121" s="9">
        <v>0.33333333333333331</v>
      </c>
      <c r="AE121" s="9">
        <v>0.73333333333333328</v>
      </c>
      <c r="AF121" s="40"/>
      <c r="AG121" s="4"/>
    </row>
    <row r="122" spans="2:33" hidden="1" x14ac:dyDescent="0.25">
      <c r="B122" s="8">
        <v>46108</v>
      </c>
      <c r="C122" s="22">
        <v>0.75</v>
      </c>
      <c r="D122" s="22">
        <v>0</v>
      </c>
      <c r="E122" s="10">
        <v>6</v>
      </c>
      <c r="F122" s="9">
        <v>0.375</v>
      </c>
      <c r="G122" s="9">
        <v>0.66666666666666663</v>
      </c>
      <c r="H122" s="10">
        <v>7</v>
      </c>
      <c r="I122" s="9">
        <v>0.375</v>
      </c>
      <c r="J122" s="9">
        <v>0.66666666666666663</v>
      </c>
      <c r="K122" s="10">
        <v>7</v>
      </c>
      <c r="L122" s="9">
        <v>0.33333333333333331</v>
      </c>
      <c r="M122" s="9">
        <v>0.75</v>
      </c>
      <c r="N122" s="10">
        <v>10</v>
      </c>
      <c r="O122" s="9">
        <v>0.33333333333333331</v>
      </c>
      <c r="P122" s="9">
        <v>0.75</v>
      </c>
      <c r="Q122" s="10">
        <v>10</v>
      </c>
      <c r="R122" s="9">
        <v>0.375</v>
      </c>
      <c r="S122" s="9">
        <v>0.75</v>
      </c>
      <c r="T122" s="10">
        <v>9</v>
      </c>
      <c r="U122" s="9">
        <v>0.375</v>
      </c>
      <c r="V122" s="9">
        <v>0.72916666666666663</v>
      </c>
      <c r="W122" s="10">
        <v>8.5</v>
      </c>
      <c r="X122" s="9">
        <v>0.375</v>
      </c>
      <c r="Y122" s="9">
        <v>0.66666666666666663</v>
      </c>
      <c r="Z122" s="10">
        <v>7</v>
      </c>
      <c r="AA122" s="9">
        <v>0.33333333333333331</v>
      </c>
      <c r="AB122" s="9">
        <v>0.66666666666666663</v>
      </c>
      <c r="AC122" s="10">
        <v>8</v>
      </c>
      <c r="AD122" s="35">
        <v>0.33333333333333331</v>
      </c>
      <c r="AE122" s="35">
        <v>0.73333333333333328</v>
      </c>
      <c r="AF122" s="40"/>
      <c r="AG122" s="4"/>
    </row>
    <row r="123" spans="2:33" hidden="1" x14ac:dyDescent="0.25">
      <c r="B123" s="8">
        <v>46109</v>
      </c>
      <c r="C123" s="22">
        <v>0.75</v>
      </c>
      <c r="D123" s="22">
        <v>0</v>
      </c>
      <c r="E123" s="10">
        <v>6</v>
      </c>
      <c r="F123" s="31">
        <v>0.33333333333333331</v>
      </c>
      <c r="G123" s="31">
        <v>0.75</v>
      </c>
      <c r="H123" s="10">
        <v>10</v>
      </c>
      <c r="I123" s="31">
        <v>0.33333333333333331</v>
      </c>
      <c r="J123" s="31">
        <v>0.75</v>
      </c>
      <c r="K123" s="10">
        <v>10</v>
      </c>
      <c r="L123" s="4"/>
      <c r="M123" s="4"/>
      <c r="N123" s="7"/>
      <c r="O123" s="31"/>
      <c r="P123" s="31"/>
      <c r="Q123" s="10"/>
      <c r="R123" s="4"/>
      <c r="S123" s="4"/>
      <c r="T123" s="7"/>
      <c r="U123" s="31">
        <v>0.375</v>
      </c>
      <c r="V123" s="31">
        <v>0.54166666666666663</v>
      </c>
      <c r="W123" s="10">
        <v>4</v>
      </c>
      <c r="X123" s="4"/>
      <c r="Y123" s="4"/>
      <c r="Z123" s="7"/>
      <c r="AA123" s="9">
        <v>0.33333333333333331</v>
      </c>
      <c r="AB123" s="9">
        <v>0.54166666666666663</v>
      </c>
      <c r="AC123" s="10">
        <v>5</v>
      </c>
      <c r="AD123" s="4"/>
      <c r="AE123" s="4"/>
      <c r="AF123" s="40"/>
      <c r="AG123" s="4"/>
    </row>
    <row r="124" spans="2:33" hidden="1" x14ac:dyDescent="0.25">
      <c r="B124" s="8">
        <v>46110</v>
      </c>
      <c r="C124" s="22"/>
      <c r="D124" s="22"/>
      <c r="E124" s="22"/>
      <c r="F124" s="4"/>
      <c r="G124" s="4"/>
      <c r="H124" s="7"/>
      <c r="I124" s="7"/>
      <c r="J124" s="7"/>
      <c r="K124" s="7"/>
      <c r="L124" s="4"/>
      <c r="M124" s="4"/>
      <c r="N124" s="7"/>
      <c r="O124" s="4"/>
      <c r="P124" s="4"/>
      <c r="Q124" s="7"/>
      <c r="R124" s="4"/>
      <c r="S124" s="4"/>
      <c r="T124" s="7"/>
      <c r="U124" s="7"/>
      <c r="V124" s="7"/>
      <c r="W124" s="7"/>
      <c r="X124" s="31">
        <v>0.33333333333333331</v>
      </c>
      <c r="Y124" s="31">
        <v>0.75</v>
      </c>
      <c r="Z124" s="10">
        <v>10</v>
      </c>
      <c r="AA124" s="4"/>
      <c r="AB124" s="4"/>
      <c r="AC124" s="7"/>
      <c r="AD124" s="4"/>
      <c r="AE124" s="4"/>
      <c r="AF124" s="40"/>
      <c r="AG124" s="4"/>
    </row>
    <row r="125" spans="2:33" hidden="1" x14ac:dyDescent="0.25">
      <c r="B125" s="4"/>
      <c r="C125" s="14"/>
      <c r="D125" s="14"/>
      <c r="E125" s="15">
        <v>36</v>
      </c>
      <c r="F125" s="4"/>
      <c r="G125" s="4"/>
      <c r="H125" s="15">
        <f>SUM(H118:H124)</f>
        <v>48</v>
      </c>
      <c r="I125" s="15"/>
      <c r="J125" s="15"/>
      <c r="K125" s="15"/>
      <c r="L125" s="4"/>
      <c r="M125" s="4"/>
      <c r="N125" s="15">
        <f>SUM(N118:N124)</f>
        <v>48</v>
      </c>
      <c r="O125" s="4"/>
      <c r="P125" s="4"/>
      <c r="Q125" s="15">
        <f>SUM(Q118:Q124)</f>
        <v>48</v>
      </c>
      <c r="R125" s="4"/>
      <c r="S125" s="4"/>
      <c r="T125" s="15">
        <f>SUM(T118:T124)</f>
        <v>48</v>
      </c>
      <c r="U125" s="7"/>
      <c r="V125" s="7"/>
      <c r="W125" s="15">
        <f>SUM(W118:W124)</f>
        <v>46.5</v>
      </c>
      <c r="X125" s="4"/>
      <c r="Y125" s="4"/>
      <c r="Z125" s="15">
        <f>SUM(Z118:Z124)</f>
        <v>48</v>
      </c>
      <c r="AA125" s="4"/>
      <c r="AB125" s="4"/>
      <c r="AC125" s="17">
        <f>SUM(AC118:AC124)</f>
        <v>48</v>
      </c>
      <c r="AD125" s="4"/>
      <c r="AE125" s="4"/>
      <c r="AF125" s="40"/>
      <c r="AG125" s="89">
        <v>0</v>
      </c>
    </row>
    <row r="126" spans="2:33" hidden="1" x14ac:dyDescent="0.25"/>
    <row r="127" spans="2:33" hidden="1" x14ac:dyDescent="0.25">
      <c r="B127" s="8">
        <v>46111</v>
      </c>
      <c r="C127" s="22">
        <v>0.75</v>
      </c>
      <c r="D127" s="22">
        <v>0</v>
      </c>
      <c r="E127" s="10">
        <v>6</v>
      </c>
      <c r="F127" s="9">
        <v>0.29166666666666669</v>
      </c>
      <c r="G127" s="9">
        <v>0.75</v>
      </c>
      <c r="H127" s="10">
        <v>11</v>
      </c>
      <c r="I127" s="9">
        <v>0.29166666666666669</v>
      </c>
      <c r="J127" s="9">
        <v>0.75</v>
      </c>
      <c r="K127" s="10">
        <v>11</v>
      </c>
      <c r="L127" s="9">
        <v>0.29166666666666669</v>
      </c>
      <c r="M127" s="9">
        <v>0.75</v>
      </c>
      <c r="N127" s="10">
        <v>11</v>
      </c>
      <c r="O127" s="9">
        <v>0.375</v>
      </c>
      <c r="P127" s="9">
        <v>0.66666666666666663</v>
      </c>
      <c r="Q127" s="10">
        <v>7</v>
      </c>
      <c r="R127" s="9">
        <v>0.375</v>
      </c>
      <c r="S127" s="9">
        <v>0.66666666666666663</v>
      </c>
      <c r="T127" s="10">
        <v>7</v>
      </c>
      <c r="U127" s="9">
        <v>0.375</v>
      </c>
      <c r="V127" s="9">
        <v>0.8125</v>
      </c>
      <c r="W127" s="10">
        <v>10.5</v>
      </c>
      <c r="X127" s="9">
        <v>0.33333333333333331</v>
      </c>
      <c r="Y127" s="9">
        <v>0.79166666666666663</v>
      </c>
      <c r="Z127" s="10">
        <v>11</v>
      </c>
      <c r="AA127" s="9">
        <v>0.33333333333333331</v>
      </c>
      <c r="AB127" s="9">
        <v>0.79166666666666663</v>
      </c>
      <c r="AC127" s="10">
        <v>11</v>
      </c>
      <c r="AD127" s="35">
        <v>0.33333333333333331</v>
      </c>
      <c r="AE127" s="35">
        <v>0.73333333333333328</v>
      </c>
      <c r="AF127" s="40"/>
      <c r="AG127" s="4"/>
    </row>
    <row r="128" spans="2:33" hidden="1" x14ac:dyDescent="0.25">
      <c r="B128" s="8">
        <v>46112</v>
      </c>
      <c r="C128" s="22">
        <v>0.75</v>
      </c>
      <c r="D128" s="22">
        <v>0</v>
      </c>
      <c r="E128" s="10">
        <v>6</v>
      </c>
      <c r="F128" s="9">
        <v>0.29166666666666669</v>
      </c>
      <c r="G128" s="9">
        <v>0.75</v>
      </c>
      <c r="H128" s="10">
        <v>11</v>
      </c>
      <c r="I128" s="9">
        <v>0.29166666666666669</v>
      </c>
      <c r="J128" s="9">
        <v>0.75</v>
      </c>
      <c r="K128" s="10">
        <v>11</v>
      </c>
      <c r="L128" s="9">
        <v>0.29166666666666669</v>
      </c>
      <c r="M128" s="9">
        <v>0.75</v>
      </c>
      <c r="N128" s="10">
        <v>11</v>
      </c>
      <c r="O128" s="9">
        <v>0.375</v>
      </c>
      <c r="P128" s="9">
        <v>0.66666666666666663</v>
      </c>
      <c r="Q128" s="10">
        <v>7</v>
      </c>
      <c r="R128" s="9">
        <v>0.375</v>
      </c>
      <c r="S128" s="9">
        <v>0.66666666666666663</v>
      </c>
      <c r="T128" s="10">
        <v>7</v>
      </c>
      <c r="U128" s="9">
        <v>0.375</v>
      </c>
      <c r="V128" s="9">
        <v>0.79166666666666663</v>
      </c>
      <c r="W128" s="10">
        <v>10</v>
      </c>
      <c r="X128" s="9">
        <v>0.33333333333333331</v>
      </c>
      <c r="Y128" s="9">
        <v>0.77083333333333337</v>
      </c>
      <c r="Z128" s="10">
        <v>10.5</v>
      </c>
      <c r="AA128" s="9">
        <v>0.33333333333333331</v>
      </c>
      <c r="AB128" s="9">
        <v>0.77083333333333337</v>
      </c>
      <c r="AC128" s="10">
        <v>10.5</v>
      </c>
      <c r="AD128" s="9">
        <v>0.33333333333333331</v>
      </c>
      <c r="AE128" s="9">
        <v>0.73333333333333328</v>
      </c>
      <c r="AF128" s="40"/>
      <c r="AG128" s="4"/>
    </row>
    <row r="129" spans="2:33" hidden="1" x14ac:dyDescent="0.25">
      <c r="B129" s="8">
        <v>46113</v>
      </c>
      <c r="C129" s="22">
        <v>0.75</v>
      </c>
      <c r="D129" s="22">
        <v>0</v>
      </c>
      <c r="E129" s="10">
        <v>6</v>
      </c>
      <c r="F129" s="9">
        <v>0.33333333333333331</v>
      </c>
      <c r="G129" s="9">
        <v>0.75</v>
      </c>
      <c r="H129" s="10">
        <v>10</v>
      </c>
      <c r="I129" s="9">
        <v>0.33333333333333331</v>
      </c>
      <c r="J129" s="9">
        <v>0.75</v>
      </c>
      <c r="K129" s="10">
        <v>10</v>
      </c>
      <c r="L129" s="9">
        <v>0.29166666666666669</v>
      </c>
      <c r="M129" s="9">
        <v>0.70833333333333337</v>
      </c>
      <c r="N129" s="10">
        <v>10</v>
      </c>
      <c r="O129" s="9">
        <v>0.33333333333333331</v>
      </c>
      <c r="P129" s="9">
        <v>0.66666666666666663</v>
      </c>
      <c r="Q129" s="10">
        <v>8</v>
      </c>
      <c r="R129" s="9">
        <v>0.375</v>
      </c>
      <c r="S129" s="9">
        <v>0.66666666666666663</v>
      </c>
      <c r="T129" s="10">
        <v>7</v>
      </c>
      <c r="U129" s="9">
        <v>0.375</v>
      </c>
      <c r="V129" s="9">
        <v>0.79166666666666663</v>
      </c>
      <c r="W129" s="10">
        <v>10</v>
      </c>
      <c r="X129" s="9">
        <v>0.33333333333333331</v>
      </c>
      <c r="Y129" s="9">
        <v>0.77083333333333337</v>
      </c>
      <c r="Z129" s="10">
        <v>10.5</v>
      </c>
      <c r="AA129" s="9">
        <v>0.33333333333333331</v>
      </c>
      <c r="AB129" s="9">
        <v>0.77083333333333337</v>
      </c>
      <c r="AC129" s="10">
        <v>10.5</v>
      </c>
      <c r="AD129" s="9">
        <v>0.29166666666666669</v>
      </c>
      <c r="AE129" s="9">
        <v>0.69166666666666665</v>
      </c>
      <c r="AF129" s="40"/>
      <c r="AG129" s="4"/>
    </row>
    <row r="130" spans="2:33" hidden="1" x14ac:dyDescent="0.25">
      <c r="B130" s="90">
        <v>46114</v>
      </c>
      <c r="C130" s="91">
        <v>0.75</v>
      </c>
      <c r="D130" s="91">
        <v>0</v>
      </c>
      <c r="E130" s="36">
        <v>6</v>
      </c>
      <c r="F130" s="35">
        <v>0.33333333333333331</v>
      </c>
      <c r="G130" s="35">
        <v>0.66666666666666663</v>
      </c>
      <c r="H130" s="36">
        <v>8</v>
      </c>
      <c r="I130" s="35">
        <v>0.33333333333333331</v>
      </c>
      <c r="J130" s="35">
        <v>0.66666666666666663</v>
      </c>
      <c r="K130" s="36">
        <v>8</v>
      </c>
      <c r="L130" s="35">
        <v>0.33333333333333331</v>
      </c>
      <c r="M130" s="35">
        <v>0.66666666666666663</v>
      </c>
      <c r="N130" s="36">
        <v>8</v>
      </c>
      <c r="O130" s="35">
        <v>0.33333333333333331</v>
      </c>
      <c r="P130" s="35">
        <v>0.66666666666666663</v>
      </c>
      <c r="Q130" s="36">
        <v>8</v>
      </c>
      <c r="R130" s="35">
        <v>0.66666666666666663</v>
      </c>
      <c r="S130" s="35">
        <v>0.91666666666666663</v>
      </c>
      <c r="T130" s="36">
        <v>8</v>
      </c>
      <c r="U130" s="35">
        <v>0.33333333333333331</v>
      </c>
      <c r="V130" s="35">
        <v>0.66666666666666663</v>
      </c>
      <c r="W130" s="36">
        <v>8</v>
      </c>
      <c r="X130" s="35">
        <v>0.33333333333333331</v>
      </c>
      <c r="Y130" s="35">
        <v>0.66666666666666663</v>
      </c>
      <c r="Z130" s="36">
        <v>8</v>
      </c>
      <c r="AA130" s="35">
        <v>0.33333333333333331</v>
      </c>
      <c r="AB130" s="35">
        <v>0.66666666666666663</v>
      </c>
      <c r="AC130" s="95">
        <v>8</v>
      </c>
      <c r="AD130" s="96">
        <v>0.33333333333333331</v>
      </c>
      <c r="AE130" s="96">
        <v>0.73333333333333328</v>
      </c>
      <c r="AF130" s="97"/>
      <c r="AG130" s="92"/>
    </row>
    <row r="131" spans="2:33" hidden="1" x14ac:dyDescent="0.25">
      <c r="B131" s="90">
        <v>46115</v>
      </c>
      <c r="C131" s="91">
        <v>0.75</v>
      </c>
      <c r="D131" s="91">
        <v>0</v>
      </c>
      <c r="E131" s="36">
        <v>6</v>
      </c>
      <c r="F131" s="35">
        <v>0.33333333333333331</v>
      </c>
      <c r="G131" s="35">
        <v>0.66666666666666663</v>
      </c>
      <c r="H131" s="36">
        <v>8</v>
      </c>
      <c r="I131" s="35">
        <v>0.33333333333333331</v>
      </c>
      <c r="J131" s="35">
        <v>0.66666666666666663</v>
      </c>
      <c r="K131" s="36">
        <v>8</v>
      </c>
      <c r="L131" s="35">
        <v>0.33333333333333331</v>
      </c>
      <c r="M131" s="35">
        <v>0.66666666666666663</v>
      </c>
      <c r="N131" s="36">
        <v>8</v>
      </c>
      <c r="O131" s="35">
        <v>0.33333333333333331</v>
      </c>
      <c r="P131" s="35">
        <v>0.66666666666666663</v>
      </c>
      <c r="Q131" s="36">
        <v>8</v>
      </c>
      <c r="R131" s="35">
        <v>0.66666666666666663</v>
      </c>
      <c r="S131" s="35">
        <v>0.91666666666666663</v>
      </c>
      <c r="T131" s="36">
        <v>8</v>
      </c>
      <c r="U131" s="35">
        <v>0.33333333333333331</v>
      </c>
      <c r="V131" s="35">
        <v>0.66666666666666663</v>
      </c>
      <c r="W131" s="36">
        <v>8</v>
      </c>
      <c r="X131" s="35">
        <v>0.33333333333333331</v>
      </c>
      <c r="Y131" s="35">
        <v>0.66666666666666663</v>
      </c>
      <c r="Z131" s="36">
        <v>8</v>
      </c>
      <c r="AA131" s="35">
        <v>0.33333333333333331</v>
      </c>
      <c r="AB131" s="35">
        <v>0.66666666666666663</v>
      </c>
      <c r="AC131" s="95">
        <v>8</v>
      </c>
      <c r="AD131" s="96">
        <v>0.33333333333333331</v>
      </c>
      <c r="AE131" s="96">
        <v>0.73333333333333328</v>
      </c>
      <c r="AF131" s="97"/>
      <c r="AG131" s="92"/>
    </row>
    <row r="132" spans="2:33" hidden="1" x14ac:dyDescent="0.25">
      <c r="B132" s="8">
        <v>46116</v>
      </c>
      <c r="C132" s="22">
        <v>0.75</v>
      </c>
      <c r="D132" s="22">
        <v>0</v>
      </c>
      <c r="E132" s="10">
        <v>6</v>
      </c>
      <c r="F132" s="4"/>
      <c r="G132" s="4"/>
      <c r="H132" s="7"/>
      <c r="I132" s="7"/>
      <c r="J132" s="7"/>
      <c r="K132" s="7"/>
      <c r="L132" s="4"/>
      <c r="M132" s="4"/>
      <c r="N132" s="7"/>
      <c r="O132" s="31"/>
      <c r="P132" s="31"/>
      <c r="Q132" s="10"/>
      <c r="R132" s="31">
        <v>0.33333333333333331</v>
      </c>
      <c r="S132" s="31">
        <v>0.75</v>
      </c>
      <c r="T132" s="10">
        <v>10</v>
      </c>
      <c r="U132" s="7"/>
      <c r="V132" s="7"/>
      <c r="W132" s="7"/>
      <c r="X132" s="4"/>
      <c r="Y132" s="4"/>
      <c r="Z132" s="7"/>
      <c r="AA132" s="9"/>
      <c r="AB132" s="9"/>
      <c r="AC132" s="10"/>
      <c r="AD132" s="4"/>
      <c r="AE132" s="4"/>
      <c r="AF132" s="94"/>
      <c r="AG132" s="4"/>
    </row>
    <row r="133" spans="2:33" hidden="1" x14ac:dyDescent="0.25">
      <c r="B133" s="8">
        <v>46117</v>
      </c>
      <c r="C133" s="22"/>
      <c r="D133" s="22"/>
      <c r="E133" s="22"/>
      <c r="F133" s="4"/>
      <c r="G133" s="4"/>
      <c r="H133" s="7"/>
      <c r="I133" s="7"/>
      <c r="J133" s="7"/>
      <c r="K133" s="7"/>
      <c r="L133" s="31"/>
      <c r="M133" s="31"/>
      <c r="N133" s="10"/>
      <c r="O133" s="31">
        <v>0.33333333333333331</v>
      </c>
      <c r="P133" s="31">
        <v>0.75</v>
      </c>
      <c r="Q133" s="10">
        <v>10</v>
      </c>
      <c r="R133" s="31"/>
      <c r="S133" s="31"/>
      <c r="T133" s="10"/>
      <c r="U133" s="7"/>
      <c r="V133" s="7"/>
      <c r="W133" s="7"/>
      <c r="X133" s="31"/>
      <c r="Y133" s="31"/>
      <c r="Z133" s="10"/>
      <c r="AA133" s="4"/>
      <c r="AB133" s="4"/>
      <c r="AC133" s="7"/>
      <c r="AD133" s="4"/>
      <c r="AE133" s="4"/>
      <c r="AF133" s="94"/>
      <c r="AG133" s="4"/>
    </row>
    <row r="134" spans="2:33" hidden="1" x14ac:dyDescent="0.25">
      <c r="B134" s="4"/>
      <c r="C134" s="14"/>
      <c r="D134" s="14"/>
      <c r="E134" s="15">
        <v>36</v>
      </c>
      <c r="F134" s="4"/>
      <c r="G134" s="4"/>
      <c r="H134" s="15">
        <f>SUM(H127:H133)</f>
        <v>48</v>
      </c>
      <c r="I134" s="15"/>
      <c r="J134" s="15"/>
      <c r="K134" s="15">
        <f>SUM(K127:K133)</f>
        <v>48</v>
      </c>
      <c r="L134" s="4"/>
      <c r="M134" s="4"/>
      <c r="N134" s="15">
        <f>SUM(N127:N133)</f>
        <v>48</v>
      </c>
      <c r="O134" s="4"/>
      <c r="P134" s="4"/>
      <c r="Q134" s="15">
        <f>SUM(Q127:Q133)</f>
        <v>48</v>
      </c>
      <c r="R134" s="4"/>
      <c r="S134" s="4"/>
      <c r="T134" s="15">
        <f>SUM(T127:T133)</f>
        <v>47</v>
      </c>
      <c r="U134" s="7"/>
      <c r="V134" s="7"/>
      <c r="W134" s="15">
        <f>SUM(W127:W133)</f>
        <v>46.5</v>
      </c>
      <c r="X134" s="4"/>
      <c r="Y134" s="4"/>
      <c r="Z134" s="15">
        <f>SUM(Z127:Z133)</f>
        <v>48</v>
      </c>
      <c r="AA134" s="4"/>
      <c r="AB134" s="4"/>
      <c r="AC134" s="17">
        <f>SUM(AC127:AC133)</f>
        <v>48</v>
      </c>
      <c r="AD134" s="4"/>
      <c r="AE134" s="4"/>
      <c r="AF134" s="40"/>
      <c r="AG134" s="89">
        <v>0</v>
      </c>
    </row>
    <row r="135" spans="2:33" hidden="1" x14ac:dyDescent="0.25">
      <c r="B135" s="8">
        <v>46118</v>
      </c>
      <c r="C135" s="22">
        <v>0.75</v>
      </c>
      <c r="D135" s="22">
        <v>0</v>
      </c>
      <c r="E135" s="10">
        <v>6</v>
      </c>
      <c r="F135" s="9">
        <v>0.33333333333333331</v>
      </c>
      <c r="G135" s="9">
        <v>0.75</v>
      </c>
      <c r="H135" s="10">
        <v>10</v>
      </c>
      <c r="I135" s="9">
        <v>0.33333333333333331</v>
      </c>
      <c r="J135" s="9">
        <v>0.75</v>
      </c>
      <c r="K135" s="10">
        <v>10</v>
      </c>
      <c r="L135" s="9">
        <v>0.375</v>
      </c>
      <c r="M135" s="9">
        <v>0.66666666666666663</v>
      </c>
      <c r="N135" s="10">
        <v>7</v>
      </c>
      <c r="O135" s="9">
        <v>0.375</v>
      </c>
      <c r="P135" s="9">
        <v>0.75</v>
      </c>
      <c r="Q135" s="10">
        <v>9</v>
      </c>
      <c r="R135" s="9">
        <v>0.33333333333333331</v>
      </c>
      <c r="S135" s="9">
        <v>0.70833333333333337</v>
      </c>
      <c r="T135" s="10">
        <v>9</v>
      </c>
      <c r="U135" s="9">
        <v>0.375</v>
      </c>
      <c r="V135" s="9">
        <v>0.77083333333333337</v>
      </c>
      <c r="W135" s="10">
        <v>9.5</v>
      </c>
      <c r="X135" s="9">
        <v>0.33333333333333331</v>
      </c>
      <c r="Y135" s="9">
        <v>0.66666666666666663</v>
      </c>
      <c r="Z135" s="10">
        <v>8</v>
      </c>
      <c r="AA135" s="9">
        <v>0.33333333333333331</v>
      </c>
      <c r="AB135" s="9">
        <v>0.70833333333333337</v>
      </c>
      <c r="AC135" s="10">
        <v>9</v>
      </c>
      <c r="AD135" s="9">
        <v>0.33333333333333331</v>
      </c>
      <c r="AE135" s="9">
        <v>0.73333333333333328</v>
      </c>
      <c r="AF135" s="94"/>
      <c r="AG135" s="4"/>
    </row>
    <row r="136" spans="2:33" hidden="1" x14ac:dyDescent="0.25">
      <c r="B136" s="8">
        <v>46119</v>
      </c>
      <c r="C136" s="22">
        <v>0.75</v>
      </c>
      <c r="D136" s="22">
        <v>0</v>
      </c>
      <c r="E136" s="10">
        <v>6</v>
      </c>
      <c r="F136" s="9">
        <v>0.33333333333333331</v>
      </c>
      <c r="G136" s="9">
        <v>0.75</v>
      </c>
      <c r="H136" s="10">
        <v>10</v>
      </c>
      <c r="I136" s="9">
        <v>0.33333333333333331</v>
      </c>
      <c r="J136" s="9">
        <v>0.75</v>
      </c>
      <c r="K136" s="10">
        <v>10</v>
      </c>
      <c r="L136" s="9">
        <v>0.375</v>
      </c>
      <c r="M136" s="9">
        <v>0.66666666666666663</v>
      </c>
      <c r="N136" s="10">
        <v>7</v>
      </c>
      <c r="O136" s="9">
        <v>0.33333333333333331</v>
      </c>
      <c r="P136" s="9">
        <v>0.66666666666666663</v>
      </c>
      <c r="Q136" s="10">
        <v>8</v>
      </c>
      <c r="R136" s="9">
        <v>0.33333333333333331</v>
      </c>
      <c r="S136" s="9">
        <v>0.75</v>
      </c>
      <c r="T136" s="10">
        <v>10</v>
      </c>
      <c r="U136" s="9">
        <v>0.375</v>
      </c>
      <c r="V136" s="9">
        <v>0.77083333333333337</v>
      </c>
      <c r="W136" s="10">
        <v>9.5</v>
      </c>
      <c r="X136" s="9">
        <v>0.375</v>
      </c>
      <c r="Y136" s="9">
        <v>0.66666666666666663</v>
      </c>
      <c r="Z136" s="10">
        <v>7</v>
      </c>
      <c r="AA136" s="9">
        <v>0.33333333333333331</v>
      </c>
      <c r="AB136" s="9">
        <v>0.70833333333333337</v>
      </c>
      <c r="AC136" s="10">
        <v>9</v>
      </c>
      <c r="AD136" s="9">
        <v>0.33333333333333331</v>
      </c>
      <c r="AE136" s="9">
        <v>0.73333333333333328</v>
      </c>
      <c r="AF136" s="94"/>
      <c r="AG136" s="4"/>
    </row>
    <row r="137" spans="2:33" hidden="1" x14ac:dyDescent="0.25">
      <c r="B137" s="8">
        <v>46120</v>
      </c>
      <c r="C137" s="22">
        <v>0.75</v>
      </c>
      <c r="D137" s="22">
        <v>0</v>
      </c>
      <c r="E137" s="10">
        <v>6</v>
      </c>
      <c r="F137" s="9">
        <v>0.33333333333333331</v>
      </c>
      <c r="G137" s="9">
        <v>0.75</v>
      </c>
      <c r="H137" s="10">
        <v>10</v>
      </c>
      <c r="I137" s="9">
        <v>0.33333333333333331</v>
      </c>
      <c r="J137" s="9">
        <v>0.75</v>
      </c>
      <c r="K137" s="10">
        <v>10</v>
      </c>
      <c r="L137" s="9">
        <v>0.33333333333333331</v>
      </c>
      <c r="M137" s="9">
        <v>0.66666666666666663</v>
      </c>
      <c r="N137" s="10">
        <v>8</v>
      </c>
      <c r="O137" s="9">
        <v>0.33333333333333331</v>
      </c>
      <c r="P137" s="9">
        <v>0.75</v>
      </c>
      <c r="Q137" s="10">
        <v>10</v>
      </c>
      <c r="R137" s="9">
        <v>0.33333333333333331</v>
      </c>
      <c r="S137" s="9">
        <v>0.66666666666666663</v>
      </c>
      <c r="T137" s="10">
        <v>8</v>
      </c>
      <c r="U137" s="9">
        <v>0.375</v>
      </c>
      <c r="V137" s="9">
        <v>0.77083333333333337</v>
      </c>
      <c r="W137" s="10">
        <v>9.5</v>
      </c>
      <c r="X137" s="9">
        <v>0.375</v>
      </c>
      <c r="Y137" s="9">
        <v>0.66666666666666663</v>
      </c>
      <c r="Z137" s="10">
        <v>7</v>
      </c>
      <c r="AA137" s="9">
        <v>0.33333333333333331</v>
      </c>
      <c r="AB137" s="9">
        <v>0.75</v>
      </c>
      <c r="AC137" s="10">
        <v>10</v>
      </c>
      <c r="AD137" s="9">
        <v>0.29166666666666669</v>
      </c>
      <c r="AE137" s="9">
        <v>0.69166666666666665</v>
      </c>
      <c r="AF137" s="94"/>
      <c r="AG137" s="4"/>
    </row>
    <row r="138" spans="2:33" hidden="1" x14ac:dyDescent="0.25">
      <c r="B138" s="8">
        <v>46121</v>
      </c>
      <c r="C138" s="22">
        <v>0.75</v>
      </c>
      <c r="D138" s="22">
        <v>0</v>
      </c>
      <c r="E138" s="10">
        <v>6</v>
      </c>
      <c r="F138" s="9">
        <v>0.375</v>
      </c>
      <c r="G138" s="9">
        <v>0.75</v>
      </c>
      <c r="H138" s="10">
        <v>9</v>
      </c>
      <c r="I138" s="9">
        <v>0.375</v>
      </c>
      <c r="J138" s="9">
        <v>0.75</v>
      </c>
      <c r="K138" s="10">
        <v>9</v>
      </c>
      <c r="L138" s="9">
        <v>0.33333333333333331</v>
      </c>
      <c r="M138" s="9">
        <v>0.66666666666666663</v>
      </c>
      <c r="N138" s="10">
        <v>8</v>
      </c>
      <c r="O138" s="23">
        <v>0.33333333333333331</v>
      </c>
      <c r="P138" s="23">
        <v>0.79166666666666663</v>
      </c>
      <c r="Q138" s="24">
        <v>11</v>
      </c>
      <c r="R138" s="23">
        <v>0.375</v>
      </c>
      <c r="S138" s="23">
        <v>0.79166666666666663</v>
      </c>
      <c r="T138" s="24">
        <v>10</v>
      </c>
      <c r="U138" s="23">
        <v>0.45833333333333331</v>
      </c>
      <c r="V138" s="23">
        <v>0.83333333333333337</v>
      </c>
      <c r="W138" s="24">
        <v>9</v>
      </c>
      <c r="X138" s="9">
        <v>0.41666666666666669</v>
      </c>
      <c r="Y138" s="9">
        <v>0.75</v>
      </c>
      <c r="Z138" s="10">
        <v>8</v>
      </c>
      <c r="AA138" s="9">
        <v>0.33333333333333331</v>
      </c>
      <c r="AB138" s="9">
        <v>0.75</v>
      </c>
      <c r="AC138" s="10">
        <v>10</v>
      </c>
      <c r="AD138" s="9">
        <v>0.33333333333333331</v>
      </c>
      <c r="AE138" s="9">
        <v>0.73333333333333328</v>
      </c>
      <c r="AF138" s="94"/>
      <c r="AG138" s="4"/>
    </row>
    <row r="139" spans="2:33" hidden="1" x14ac:dyDescent="0.25">
      <c r="B139" s="8">
        <v>46122</v>
      </c>
      <c r="C139" s="22">
        <v>0.75</v>
      </c>
      <c r="D139" s="22">
        <v>0</v>
      </c>
      <c r="E139" s="10">
        <v>6</v>
      </c>
      <c r="F139" s="9">
        <v>0.375</v>
      </c>
      <c r="G139" s="9">
        <v>0.75</v>
      </c>
      <c r="H139" s="10">
        <v>9</v>
      </c>
      <c r="I139" s="9">
        <v>0.375</v>
      </c>
      <c r="J139" s="9">
        <v>0.75</v>
      </c>
      <c r="K139" s="10">
        <v>9</v>
      </c>
      <c r="L139" s="9">
        <v>0.33333333333333331</v>
      </c>
      <c r="M139" s="9">
        <v>0.66666666666666663</v>
      </c>
      <c r="N139" s="10">
        <v>8</v>
      </c>
      <c r="O139" s="23">
        <v>0.375</v>
      </c>
      <c r="P139" s="23">
        <v>0.79166666666666663</v>
      </c>
      <c r="Q139" s="24">
        <v>10</v>
      </c>
      <c r="R139" s="23">
        <v>0.33333333333333331</v>
      </c>
      <c r="S139" s="23">
        <v>0.79166666666666663</v>
      </c>
      <c r="T139" s="24">
        <v>11</v>
      </c>
      <c r="U139" s="23">
        <v>0.45833333333333331</v>
      </c>
      <c r="V139" s="23">
        <v>0.83333333333333337</v>
      </c>
      <c r="W139" s="24">
        <v>9</v>
      </c>
      <c r="X139" s="9">
        <v>0.41666666666666669</v>
      </c>
      <c r="Y139" s="9">
        <v>0.75</v>
      </c>
      <c r="Z139" s="10">
        <v>8</v>
      </c>
      <c r="AA139" s="9">
        <v>0.33333333333333331</v>
      </c>
      <c r="AB139" s="9">
        <v>0.75</v>
      </c>
      <c r="AC139" s="10">
        <v>10</v>
      </c>
      <c r="AD139" s="9">
        <v>0.33333333333333331</v>
      </c>
      <c r="AE139" s="9">
        <v>0.73333333333333328</v>
      </c>
      <c r="AF139" s="94"/>
      <c r="AG139" s="4"/>
    </row>
    <row r="140" spans="2:33" hidden="1" x14ac:dyDescent="0.25">
      <c r="B140" s="8">
        <v>46123</v>
      </c>
      <c r="C140" s="22">
        <v>0.75</v>
      </c>
      <c r="D140" s="22">
        <v>0</v>
      </c>
      <c r="E140" s="10">
        <v>6</v>
      </c>
      <c r="F140" s="4"/>
      <c r="G140" s="4"/>
      <c r="H140" s="7"/>
      <c r="I140" s="7"/>
      <c r="J140" s="7"/>
      <c r="K140" s="7"/>
      <c r="L140" s="31">
        <v>0.33333333333333331</v>
      </c>
      <c r="M140" s="31">
        <v>0.75</v>
      </c>
      <c r="N140" s="10">
        <v>10</v>
      </c>
      <c r="O140" s="31"/>
      <c r="P140" s="31"/>
      <c r="Q140" s="10"/>
      <c r="R140" s="4"/>
      <c r="S140" s="4"/>
      <c r="T140" s="7"/>
      <c r="U140" s="7"/>
      <c r="V140" s="7"/>
      <c r="W140" s="7"/>
      <c r="X140" s="31"/>
      <c r="Y140" s="31"/>
      <c r="Z140" s="10"/>
      <c r="AA140" s="9"/>
      <c r="AB140" s="9"/>
      <c r="AC140" s="10"/>
      <c r="AD140" s="4"/>
      <c r="AE140" s="4"/>
      <c r="AF140" s="94"/>
      <c r="AG140" s="4"/>
    </row>
    <row r="141" spans="2:33" hidden="1" x14ac:dyDescent="0.25">
      <c r="B141" s="8">
        <v>46124</v>
      </c>
      <c r="C141" s="22"/>
      <c r="D141" s="22"/>
      <c r="E141" s="22"/>
      <c r="F141" s="4"/>
      <c r="G141" s="4"/>
      <c r="H141" s="7"/>
      <c r="I141" s="7"/>
      <c r="J141" s="7"/>
      <c r="K141" s="7"/>
      <c r="L141" s="31"/>
      <c r="M141" s="31"/>
      <c r="N141" s="10"/>
      <c r="O141" s="4"/>
      <c r="P141" s="4"/>
      <c r="Q141" s="7"/>
      <c r="R141" s="31"/>
      <c r="S141" s="31"/>
      <c r="T141" s="10"/>
      <c r="U141" s="7"/>
      <c r="V141" s="7"/>
      <c r="W141" s="7"/>
      <c r="X141" s="31">
        <v>0.33333333333333331</v>
      </c>
      <c r="Y141" s="31">
        <v>0.75</v>
      </c>
      <c r="Z141" s="10">
        <v>10</v>
      </c>
      <c r="AA141" s="4"/>
      <c r="AB141" s="4"/>
      <c r="AC141" s="7"/>
      <c r="AD141" s="4"/>
      <c r="AE141" s="4"/>
      <c r="AF141" s="94"/>
      <c r="AG141" s="4"/>
    </row>
    <row r="142" spans="2:33" hidden="1" x14ac:dyDescent="0.25">
      <c r="B142" s="4"/>
      <c r="C142" s="14"/>
      <c r="D142" s="14"/>
      <c r="E142" s="15">
        <v>36</v>
      </c>
      <c r="F142" s="4"/>
      <c r="G142" s="4"/>
      <c r="H142" s="15">
        <f>SUM(H135:H141)</f>
        <v>48</v>
      </c>
      <c r="I142" s="15"/>
      <c r="J142" s="15"/>
      <c r="K142" s="15">
        <f>SUM(K135:K141)</f>
        <v>48</v>
      </c>
      <c r="L142" s="4"/>
      <c r="M142" s="4"/>
      <c r="N142" s="15">
        <f>SUM(N135:N141)</f>
        <v>48</v>
      </c>
      <c r="O142" s="4"/>
      <c r="P142" s="4"/>
      <c r="Q142" s="15">
        <f>SUM(Q135:Q141)</f>
        <v>48</v>
      </c>
      <c r="R142" s="4"/>
      <c r="S142" s="4"/>
      <c r="T142" s="15">
        <f>SUM(T135:T141)</f>
        <v>48</v>
      </c>
      <c r="U142" s="7"/>
      <c r="V142" s="7"/>
      <c r="W142" s="15">
        <f>SUM(W135:W141)</f>
        <v>46.5</v>
      </c>
      <c r="X142" s="4"/>
      <c r="Y142" s="4"/>
      <c r="Z142" s="15">
        <f>SUM(Z135:Z141)</f>
        <v>48</v>
      </c>
      <c r="AA142" s="4"/>
      <c r="AB142" s="4"/>
      <c r="AC142" s="17">
        <f>SUM(AC135:AC141)</f>
        <v>48</v>
      </c>
      <c r="AD142" s="4"/>
      <c r="AE142" s="4"/>
      <c r="AF142" s="40"/>
      <c r="AG142" s="89">
        <v>0</v>
      </c>
    </row>
    <row r="143" spans="2:33" hidden="1" x14ac:dyDescent="0.25">
      <c r="B143" s="8">
        <v>46125</v>
      </c>
      <c r="C143" s="22">
        <v>0.75</v>
      </c>
      <c r="D143" s="22">
        <v>0</v>
      </c>
      <c r="E143" s="10">
        <v>6</v>
      </c>
      <c r="F143" s="9">
        <v>0.33333333333333331</v>
      </c>
      <c r="G143" s="9">
        <v>0.66666666666666663</v>
      </c>
      <c r="H143" s="10">
        <v>8</v>
      </c>
      <c r="I143" s="9">
        <v>0.33333333333333331</v>
      </c>
      <c r="J143" s="9">
        <v>0.66666666666666663</v>
      </c>
      <c r="K143" s="10">
        <v>8</v>
      </c>
      <c r="L143" s="9">
        <v>0.375</v>
      </c>
      <c r="M143" s="9">
        <v>0.75</v>
      </c>
      <c r="N143" s="10">
        <v>9</v>
      </c>
      <c r="O143" s="23">
        <v>0.45833333333333331</v>
      </c>
      <c r="P143" s="23">
        <v>0.79166666666666663</v>
      </c>
      <c r="Q143" s="24">
        <v>8</v>
      </c>
      <c r="R143" s="23">
        <v>0.33333333333333331</v>
      </c>
      <c r="S143" s="23">
        <v>0.79166666666666663</v>
      </c>
      <c r="T143" s="24">
        <v>11</v>
      </c>
      <c r="U143" s="23">
        <v>0.47916666666666669</v>
      </c>
      <c r="V143" s="23">
        <v>0.83333333333333337</v>
      </c>
      <c r="W143" s="24">
        <v>8.5</v>
      </c>
      <c r="X143" s="9">
        <v>0.375</v>
      </c>
      <c r="Y143" s="9">
        <v>0.75</v>
      </c>
      <c r="Z143" s="10">
        <v>9</v>
      </c>
      <c r="AA143" s="9">
        <v>0.33333333333333331</v>
      </c>
      <c r="AB143" s="9">
        <v>0.75</v>
      </c>
      <c r="AC143" s="10">
        <v>10</v>
      </c>
      <c r="AD143" s="9">
        <v>0.33333333333333331</v>
      </c>
      <c r="AE143" s="9">
        <v>0.73333333333333328</v>
      </c>
      <c r="AF143" s="94"/>
      <c r="AG143" s="4"/>
    </row>
    <row r="144" spans="2:33" hidden="1" x14ac:dyDescent="0.25">
      <c r="B144" s="8">
        <v>46126</v>
      </c>
      <c r="C144" s="22">
        <v>0.75</v>
      </c>
      <c r="D144" s="22">
        <v>0</v>
      </c>
      <c r="E144" s="10">
        <v>6</v>
      </c>
      <c r="F144" s="9">
        <v>0.33333333333333331</v>
      </c>
      <c r="G144" s="9">
        <v>0.66666666666666663</v>
      </c>
      <c r="H144" s="10">
        <v>8</v>
      </c>
      <c r="I144" s="9">
        <v>0.33333333333333331</v>
      </c>
      <c r="J144" s="9">
        <v>0.66666666666666663</v>
      </c>
      <c r="K144" s="10">
        <v>8</v>
      </c>
      <c r="L144" s="9">
        <v>0.375</v>
      </c>
      <c r="M144" s="9">
        <v>0.75</v>
      </c>
      <c r="N144" s="10">
        <v>9</v>
      </c>
      <c r="O144" s="9">
        <v>0.33333333333333331</v>
      </c>
      <c r="P144" s="9">
        <v>0.66666666666666663</v>
      </c>
      <c r="Q144" s="10">
        <v>8</v>
      </c>
      <c r="R144" s="9">
        <v>0.33333333333333331</v>
      </c>
      <c r="S144" s="9">
        <v>0.70833333333333337</v>
      </c>
      <c r="T144" s="10">
        <v>9</v>
      </c>
      <c r="U144" s="9">
        <v>0.375</v>
      </c>
      <c r="V144" s="9">
        <v>0.72916666666666663</v>
      </c>
      <c r="W144" s="10">
        <v>8.5</v>
      </c>
      <c r="X144" s="9">
        <v>0.375</v>
      </c>
      <c r="Y144" s="9">
        <v>0.75</v>
      </c>
      <c r="Z144" s="10">
        <v>9</v>
      </c>
      <c r="AA144" s="9">
        <v>0.33333333333333331</v>
      </c>
      <c r="AB144" s="9">
        <v>0.75</v>
      </c>
      <c r="AC144" s="10">
        <v>10</v>
      </c>
      <c r="AD144" s="9">
        <v>0.33333333333333331</v>
      </c>
      <c r="AE144" s="9">
        <v>0.73333333333333328</v>
      </c>
      <c r="AF144" s="94"/>
      <c r="AG144" s="4"/>
    </row>
    <row r="145" spans="2:41" hidden="1" x14ac:dyDescent="0.25">
      <c r="B145" s="8">
        <v>46127</v>
      </c>
      <c r="C145" s="22">
        <v>0.75</v>
      </c>
      <c r="D145" s="22">
        <v>0</v>
      </c>
      <c r="E145" s="10">
        <v>6</v>
      </c>
      <c r="F145" s="9">
        <v>0.33333333333333331</v>
      </c>
      <c r="G145" s="9">
        <v>0.66666666666666663</v>
      </c>
      <c r="H145" s="10">
        <v>8</v>
      </c>
      <c r="I145" s="9">
        <v>0.33333333333333331</v>
      </c>
      <c r="J145" s="9">
        <v>0.66666666666666663</v>
      </c>
      <c r="K145" s="10">
        <v>8</v>
      </c>
      <c r="L145" s="9">
        <v>0.33333333333333331</v>
      </c>
      <c r="M145" s="9">
        <v>0.75</v>
      </c>
      <c r="N145" s="10">
        <v>10</v>
      </c>
      <c r="O145" s="9">
        <v>0.33333333333333331</v>
      </c>
      <c r="P145" s="9">
        <v>0.66666666666666663</v>
      </c>
      <c r="Q145" s="10">
        <v>8</v>
      </c>
      <c r="R145" s="9">
        <v>0.33333333333333331</v>
      </c>
      <c r="S145" s="9">
        <v>0.75</v>
      </c>
      <c r="T145" s="10">
        <v>10</v>
      </c>
      <c r="U145" s="9">
        <v>0.375</v>
      </c>
      <c r="V145" s="9">
        <v>0.72916666666666663</v>
      </c>
      <c r="W145" s="10">
        <v>8.5</v>
      </c>
      <c r="X145" s="9">
        <v>0.33333333333333331</v>
      </c>
      <c r="Y145" s="9">
        <v>0.75</v>
      </c>
      <c r="Z145" s="10">
        <v>10</v>
      </c>
      <c r="AA145" s="9">
        <v>0.33333333333333331</v>
      </c>
      <c r="AB145" s="9">
        <v>0.75</v>
      </c>
      <c r="AC145" s="10">
        <v>10</v>
      </c>
      <c r="AD145" s="9">
        <v>0.29166666666666669</v>
      </c>
      <c r="AE145" s="9">
        <v>0.69166666666666665</v>
      </c>
      <c r="AF145" s="94"/>
      <c r="AG145" s="4"/>
    </row>
    <row r="146" spans="2:41" hidden="1" x14ac:dyDescent="0.25">
      <c r="B146" s="8">
        <v>46128</v>
      </c>
      <c r="C146" s="22">
        <v>0.75</v>
      </c>
      <c r="D146" s="22">
        <v>0</v>
      </c>
      <c r="E146" s="10">
        <v>6</v>
      </c>
      <c r="F146" s="9">
        <v>0.375</v>
      </c>
      <c r="G146" s="9">
        <v>0.66666666666666663</v>
      </c>
      <c r="H146" s="10">
        <v>7</v>
      </c>
      <c r="I146" s="9">
        <v>0.375</v>
      </c>
      <c r="J146" s="9">
        <v>0.66666666666666663</v>
      </c>
      <c r="K146" s="10">
        <v>7</v>
      </c>
      <c r="L146" s="9">
        <v>0.33333333333333331</v>
      </c>
      <c r="M146" s="9">
        <v>0.75</v>
      </c>
      <c r="N146" s="10">
        <v>10</v>
      </c>
      <c r="O146" s="9">
        <v>0.375</v>
      </c>
      <c r="P146" s="9">
        <v>0.66666666666666663</v>
      </c>
      <c r="Q146" s="10">
        <v>7</v>
      </c>
      <c r="R146" s="9">
        <v>0.33333333333333331</v>
      </c>
      <c r="S146" s="9">
        <v>0.70833333333333337</v>
      </c>
      <c r="T146" s="10">
        <v>9</v>
      </c>
      <c r="U146" s="9">
        <v>0.375</v>
      </c>
      <c r="V146" s="9">
        <v>0.70833333333333337</v>
      </c>
      <c r="W146" s="10">
        <v>8</v>
      </c>
      <c r="X146" s="9">
        <v>0.33333333333333331</v>
      </c>
      <c r="Y146" s="9">
        <v>0.75</v>
      </c>
      <c r="Z146" s="10">
        <v>10</v>
      </c>
      <c r="AA146" s="9">
        <v>0.33333333333333331</v>
      </c>
      <c r="AB146" s="9">
        <v>0.70833333333333337</v>
      </c>
      <c r="AC146" s="10">
        <v>9</v>
      </c>
      <c r="AD146" s="9">
        <v>0.33333333333333331</v>
      </c>
      <c r="AE146" s="9">
        <v>0.73333333333333328</v>
      </c>
      <c r="AF146" s="94"/>
      <c r="AG146" s="4"/>
    </row>
    <row r="147" spans="2:41" hidden="1" x14ac:dyDescent="0.25">
      <c r="B147" s="8">
        <v>46129</v>
      </c>
      <c r="C147" s="22">
        <v>0.75</v>
      </c>
      <c r="D147" s="22">
        <v>0</v>
      </c>
      <c r="E147" s="10">
        <v>6</v>
      </c>
      <c r="F147" s="9">
        <v>0.375</v>
      </c>
      <c r="G147" s="9">
        <v>0.66666666666666663</v>
      </c>
      <c r="H147" s="10">
        <v>7</v>
      </c>
      <c r="I147" s="9">
        <v>0.375</v>
      </c>
      <c r="J147" s="9">
        <v>0.66666666666666663</v>
      </c>
      <c r="K147" s="10">
        <v>7</v>
      </c>
      <c r="L147" s="9">
        <v>0.33333333333333331</v>
      </c>
      <c r="M147" s="9">
        <v>0.75</v>
      </c>
      <c r="N147" s="10">
        <v>10</v>
      </c>
      <c r="O147" s="9">
        <v>0.375</v>
      </c>
      <c r="P147" s="9">
        <v>0.66666666666666663</v>
      </c>
      <c r="Q147" s="10">
        <v>7</v>
      </c>
      <c r="R147" s="9">
        <v>0.33333333333333331</v>
      </c>
      <c r="S147" s="9">
        <v>0.70833333333333337</v>
      </c>
      <c r="T147" s="10">
        <v>9</v>
      </c>
      <c r="U147" s="9">
        <v>0.375</v>
      </c>
      <c r="V147" s="9">
        <v>0.70833333333333337</v>
      </c>
      <c r="W147" s="10">
        <v>8</v>
      </c>
      <c r="X147" s="9">
        <v>0.33333333333333331</v>
      </c>
      <c r="Y147" s="9">
        <v>0.75</v>
      </c>
      <c r="Z147" s="10">
        <v>10</v>
      </c>
      <c r="AA147" s="9">
        <v>0.33333333333333331</v>
      </c>
      <c r="AB147" s="9">
        <v>0.70833333333333337</v>
      </c>
      <c r="AC147" s="10">
        <v>9</v>
      </c>
      <c r="AD147" s="9">
        <v>0.33333333333333331</v>
      </c>
      <c r="AE147" s="9">
        <v>0.73333333333333328</v>
      </c>
      <c r="AF147" s="94"/>
      <c r="AG147" s="4"/>
    </row>
    <row r="148" spans="2:41" hidden="1" x14ac:dyDescent="0.25">
      <c r="B148" s="8">
        <v>46130</v>
      </c>
      <c r="C148" s="22">
        <v>0.75</v>
      </c>
      <c r="D148" s="22">
        <v>0</v>
      </c>
      <c r="E148" s="10">
        <v>6</v>
      </c>
      <c r="F148" s="31">
        <v>0.33333333333333331</v>
      </c>
      <c r="G148" s="31">
        <v>0.75</v>
      </c>
      <c r="H148" s="10">
        <v>10</v>
      </c>
      <c r="I148" s="31">
        <v>0.33333333333333331</v>
      </c>
      <c r="J148" s="31">
        <v>0.75</v>
      </c>
      <c r="K148" s="10">
        <v>10</v>
      </c>
      <c r="L148" s="4"/>
      <c r="M148" s="4"/>
      <c r="N148" s="7"/>
      <c r="O148" s="31"/>
      <c r="P148" s="31"/>
      <c r="Q148" s="10"/>
      <c r="R148" s="4"/>
      <c r="S148" s="4"/>
      <c r="T148" s="7"/>
      <c r="U148" s="11">
        <v>0.375</v>
      </c>
      <c r="V148" s="11">
        <v>0.58333333333333337</v>
      </c>
      <c r="W148" s="10">
        <v>5</v>
      </c>
      <c r="X148" s="4"/>
      <c r="Y148" s="4"/>
      <c r="Z148" s="7"/>
      <c r="AA148" s="9"/>
      <c r="AB148" s="9"/>
      <c r="AC148" s="10"/>
      <c r="AD148" s="4"/>
      <c r="AE148" s="4"/>
      <c r="AF148" s="94"/>
      <c r="AG148" s="4"/>
    </row>
    <row r="149" spans="2:41" hidden="1" x14ac:dyDescent="0.25">
      <c r="B149" s="8">
        <v>46131</v>
      </c>
      <c r="C149" s="22"/>
      <c r="D149" s="22"/>
      <c r="E149" s="22"/>
      <c r="F149" s="4"/>
      <c r="G149" s="4"/>
      <c r="H149" s="7"/>
      <c r="I149" s="7"/>
      <c r="J149" s="7"/>
      <c r="K149" s="7"/>
      <c r="L149" s="31"/>
      <c r="M149" s="31"/>
      <c r="N149" s="10"/>
      <c r="O149" s="31">
        <v>0.33333333333333331</v>
      </c>
      <c r="P149" s="31">
        <v>0.75</v>
      </c>
      <c r="Q149" s="10">
        <v>10</v>
      </c>
      <c r="R149" s="31"/>
      <c r="S149" s="31"/>
      <c r="T149" s="10"/>
      <c r="U149" s="7"/>
      <c r="V149" s="7"/>
      <c r="W149" s="7"/>
      <c r="X149" s="31"/>
      <c r="Y149" s="31"/>
      <c r="Z149" s="10"/>
      <c r="AA149" s="4"/>
      <c r="AB149" s="4"/>
      <c r="AC149" s="7"/>
      <c r="AD149" s="4"/>
      <c r="AE149" s="4"/>
      <c r="AF149" s="94"/>
      <c r="AG149" s="4"/>
    </row>
    <row r="150" spans="2:41" hidden="1" x14ac:dyDescent="0.25">
      <c r="B150" s="4"/>
      <c r="C150" s="14"/>
      <c r="D150" s="14"/>
      <c r="E150" s="15">
        <v>36</v>
      </c>
      <c r="F150" s="4"/>
      <c r="G150" s="4"/>
      <c r="H150" s="15">
        <f>SUM(H143:H149)</f>
        <v>48</v>
      </c>
      <c r="I150" s="15"/>
      <c r="J150" s="15"/>
      <c r="K150" s="15">
        <f>SUM(K143:K149)</f>
        <v>48</v>
      </c>
      <c r="L150" s="4"/>
      <c r="M150" s="4"/>
      <c r="N150" s="15">
        <f>SUM(N143:N149)</f>
        <v>48</v>
      </c>
      <c r="O150" s="4"/>
      <c r="P150" s="4"/>
      <c r="Q150" s="15">
        <f>SUM(Q143:Q149)</f>
        <v>48</v>
      </c>
      <c r="R150" s="4"/>
      <c r="S150" s="4"/>
      <c r="T150" s="15">
        <f>SUM(T143:T149)</f>
        <v>48</v>
      </c>
      <c r="U150" s="7"/>
      <c r="V150" s="7"/>
      <c r="W150" s="15">
        <f>SUM(W143:W149)</f>
        <v>46.5</v>
      </c>
      <c r="X150" s="4"/>
      <c r="Y150" s="4"/>
      <c r="Z150" s="15">
        <f>SUM(Z143:Z149)</f>
        <v>48</v>
      </c>
      <c r="AA150" s="4"/>
      <c r="AB150" s="4"/>
      <c r="AC150" s="17">
        <f>SUM(AC143:AC149)</f>
        <v>48</v>
      </c>
      <c r="AD150" s="4"/>
      <c r="AE150" s="4"/>
      <c r="AF150" s="40"/>
      <c r="AG150" s="89">
        <v>0</v>
      </c>
    </row>
    <row r="151" spans="2:41" hidden="1" x14ac:dyDescent="0.25">
      <c r="B151" s="8">
        <v>46132</v>
      </c>
      <c r="C151" s="22">
        <v>0.75</v>
      </c>
      <c r="D151" s="22">
        <v>0</v>
      </c>
      <c r="E151" s="10">
        <v>6</v>
      </c>
      <c r="F151" s="9">
        <v>0.375</v>
      </c>
      <c r="G151" s="9">
        <v>0.75</v>
      </c>
      <c r="H151" s="10">
        <v>9</v>
      </c>
      <c r="I151" s="9">
        <v>0.375</v>
      </c>
      <c r="J151" s="9">
        <v>0.75</v>
      </c>
      <c r="K151" s="10">
        <v>9</v>
      </c>
      <c r="L151" s="9">
        <v>0.33333333333333331</v>
      </c>
      <c r="M151" s="9">
        <v>0.75</v>
      </c>
      <c r="N151" s="10">
        <v>10</v>
      </c>
      <c r="O151" s="9">
        <v>0.375</v>
      </c>
      <c r="P151" s="9">
        <v>0.75</v>
      </c>
      <c r="Q151" s="10">
        <v>9</v>
      </c>
      <c r="R151" s="9">
        <v>0.33333333333333331</v>
      </c>
      <c r="S151" s="9">
        <v>0.66666666666666663</v>
      </c>
      <c r="T151" s="10">
        <v>8</v>
      </c>
      <c r="U151" s="9">
        <v>0.375</v>
      </c>
      <c r="V151" s="9">
        <v>0.72916666666666663</v>
      </c>
      <c r="W151" s="10">
        <v>8.5</v>
      </c>
      <c r="X151" s="9">
        <v>0.375</v>
      </c>
      <c r="Y151" s="9">
        <v>0.66666666666666663</v>
      </c>
      <c r="Z151" s="10">
        <v>7</v>
      </c>
      <c r="AA151" s="9">
        <v>0.33333333333333331</v>
      </c>
      <c r="AB151" s="9">
        <v>0.75</v>
      </c>
      <c r="AC151" s="10">
        <v>10</v>
      </c>
      <c r="AD151" s="9">
        <v>0.33333333333333331</v>
      </c>
      <c r="AE151" s="9">
        <v>0.73333333333333328</v>
      </c>
      <c r="AF151" s="94"/>
      <c r="AG151" s="4"/>
    </row>
    <row r="152" spans="2:41" hidden="1" x14ac:dyDescent="0.25">
      <c r="B152" s="8">
        <v>46133</v>
      </c>
      <c r="C152" s="22">
        <v>0.75</v>
      </c>
      <c r="D152" s="22">
        <v>0</v>
      </c>
      <c r="E152" s="10">
        <v>6</v>
      </c>
      <c r="F152" s="9">
        <v>0.375</v>
      </c>
      <c r="G152" s="9">
        <v>0.75</v>
      </c>
      <c r="H152" s="10">
        <v>9</v>
      </c>
      <c r="I152" s="9">
        <v>0.375</v>
      </c>
      <c r="J152" s="9">
        <v>0.75</v>
      </c>
      <c r="K152" s="10">
        <v>9</v>
      </c>
      <c r="L152" s="9">
        <v>0.33333333333333331</v>
      </c>
      <c r="M152" s="9">
        <v>0.75</v>
      </c>
      <c r="N152" s="10">
        <v>10</v>
      </c>
      <c r="O152" s="9">
        <v>0.375</v>
      </c>
      <c r="P152" s="9">
        <v>0.75</v>
      </c>
      <c r="Q152" s="10">
        <v>9</v>
      </c>
      <c r="R152" s="9">
        <v>0.33333333333333331</v>
      </c>
      <c r="S152" s="9">
        <v>0.66666666666666663</v>
      </c>
      <c r="T152" s="10">
        <v>8</v>
      </c>
      <c r="U152" s="9">
        <v>0.375</v>
      </c>
      <c r="V152" s="9">
        <v>0.72916666666666663</v>
      </c>
      <c r="W152" s="10">
        <v>8.5</v>
      </c>
      <c r="X152" s="9">
        <v>0.375</v>
      </c>
      <c r="Y152" s="9">
        <v>0.66666666666666663</v>
      </c>
      <c r="Z152" s="10">
        <v>7</v>
      </c>
      <c r="AA152" s="9">
        <v>0.375</v>
      </c>
      <c r="AB152" s="9">
        <v>0.75</v>
      </c>
      <c r="AC152" s="10">
        <v>9</v>
      </c>
      <c r="AD152" s="9">
        <v>0.33333333333333331</v>
      </c>
      <c r="AE152" s="9">
        <v>0.73333333333333328</v>
      </c>
      <c r="AF152" s="94"/>
      <c r="AG152" s="4"/>
    </row>
    <row r="153" spans="2:41" hidden="1" x14ac:dyDescent="0.25">
      <c r="B153" s="8">
        <v>46134</v>
      </c>
      <c r="C153" s="22">
        <v>0.75</v>
      </c>
      <c r="D153" s="22">
        <v>0</v>
      </c>
      <c r="E153" s="10">
        <v>6</v>
      </c>
      <c r="F153" s="9">
        <v>0.33333333333333331</v>
      </c>
      <c r="G153" s="9">
        <v>0.75</v>
      </c>
      <c r="H153" s="10">
        <v>10</v>
      </c>
      <c r="I153" s="9">
        <v>0.33333333333333331</v>
      </c>
      <c r="J153" s="9">
        <v>0.75</v>
      </c>
      <c r="K153" s="10">
        <v>10</v>
      </c>
      <c r="L153" s="9">
        <v>0.33333333333333331</v>
      </c>
      <c r="M153" s="9">
        <v>0.75</v>
      </c>
      <c r="N153" s="10">
        <v>10</v>
      </c>
      <c r="O153" s="9">
        <v>0.33333333333333331</v>
      </c>
      <c r="P153" s="9">
        <v>0.75</v>
      </c>
      <c r="Q153" s="10">
        <v>10</v>
      </c>
      <c r="R153" s="9">
        <v>0.33333333333333331</v>
      </c>
      <c r="S153" s="9">
        <v>0.625</v>
      </c>
      <c r="T153" s="10">
        <v>7</v>
      </c>
      <c r="U153" s="9">
        <v>0.375</v>
      </c>
      <c r="V153" s="9">
        <v>0.70833333333333337</v>
      </c>
      <c r="W153" s="10">
        <v>8</v>
      </c>
      <c r="X153" s="9">
        <v>0.33333333333333331</v>
      </c>
      <c r="Y153" s="9">
        <v>0.66666666666666663</v>
      </c>
      <c r="Z153" s="10">
        <v>8</v>
      </c>
      <c r="AA153" s="9">
        <v>0.33333333333333331</v>
      </c>
      <c r="AB153" s="9">
        <v>0.75</v>
      </c>
      <c r="AC153" s="10">
        <v>10</v>
      </c>
      <c r="AD153" s="9">
        <v>0.29166666666666669</v>
      </c>
      <c r="AE153" s="9">
        <v>0.69166666666666665</v>
      </c>
      <c r="AF153" s="94"/>
      <c r="AG153" s="4"/>
    </row>
    <row r="154" spans="2:41" hidden="1" x14ac:dyDescent="0.25">
      <c r="B154" s="8">
        <v>46135</v>
      </c>
      <c r="C154" s="22">
        <v>0.75</v>
      </c>
      <c r="D154" s="22">
        <v>0</v>
      </c>
      <c r="E154" s="10">
        <v>6</v>
      </c>
      <c r="F154" s="9">
        <v>0.33333333333333331</v>
      </c>
      <c r="G154" s="9">
        <v>0.75</v>
      </c>
      <c r="H154" s="10">
        <v>10</v>
      </c>
      <c r="I154" s="9">
        <v>0.33333333333333331</v>
      </c>
      <c r="J154" s="9">
        <v>0.75</v>
      </c>
      <c r="K154" s="10">
        <v>10</v>
      </c>
      <c r="L154" s="9">
        <v>0.375</v>
      </c>
      <c r="M154" s="9">
        <v>0.75</v>
      </c>
      <c r="N154" s="10">
        <v>9</v>
      </c>
      <c r="O154" s="9">
        <v>0.33333333333333331</v>
      </c>
      <c r="P154" s="9">
        <v>0.75</v>
      </c>
      <c r="Q154" s="10">
        <v>10</v>
      </c>
      <c r="R154" s="9">
        <v>0.33333333333333331</v>
      </c>
      <c r="S154" s="9">
        <v>0.66666666666666663</v>
      </c>
      <c r="T154" s="10">
        <v>8</v>
      </c>
      <c r="U154" s="9">
        <v>0.375</v>
      </c>
      <c r="V154" s="9">
        <v>0.72916666666666663</v>
      </c>
      <c r="W154" s="10">
        <v>8.5</v>
      </c>
      <c r="X154" s="9">
        <v>0.33333333333333331</v>
      </c>
      <c r="Y154" s="9">
        <v>0.66666666666666663</v>
      </c>
      <c r="Z154" s="10">
        <v>8</v>
      </c>
      <c r="AA154" s="9">
        <v>0.375</v>
      </c>
      <c r="AB154" s="9">
        <v>0.75</v>
      </c>
      <c r="AC154" s="10">
        <v>9</v>
      </c>
      <c r="AD154" s="9">
        <v>0.33333333333333331</v>
      </c>
      <c r="AE154" s="9">
        <v>0.73333333333333328</v>
      </c>
      <c r="AF154" s="94"/>
      <c r="AG154" s="4"/>
    </row>
    <row r="155" spans="2:41" hidden="1" x14ac:dyDescent="0.25">
      <c r="B155" s="8">
        <v>46136</v>
      </c>
      <c r="C155" s="22">
        <v>0.75</v>
      </c>
      <c r="D155" s="22">
        <v>0</v>
      </c>
      <c r="E155" s="10">
        <v>6</v>
      </c>
      <c r="F155" s="9">
        <v>0.33333333333333331</v>
      </c>
      <c r="G155" s="9">
        <v>0.75</v>
      </c>
      <c r="H155" s="10">
        <v>10</v>
      </c>
      <c r="I155" s="9">
        <v>0.33333333333333331</v>
      </c>
      <c r="J155" s="9">
        <v>0.75</v>
      </c>
      <c r="K155" s="10">
        <v>10</v>
      </c>
      <c r="L155" s="9">
        <v>0.375</v>
      </c>
      <c r="M155" s="9">
        <v>0.75</v>
      </c>
      <c r="N155" s="10">
        <v>9</v>
      </c>
      <c r="O155" s="9">
        <v>0.33333333333333331</v>
      </c>
      <c r="P155" s="9">
        <v>0.75</v>
      </c>
      <c r="Q155" s="10">
        <v>10</v>
      </c>
      <c r="R155" s="9">
        <v>0.33333333333333331</v>
      </c>
      <c r="S155" s="9">
        <v>0.625</v>
      </c>
      <c r="T155" s="10">
        <v>7</v>
      </c>
      <c r="U155" s="9">
        <v>0.375</v>
      </c>
      <c r="V155" s="9">
        <v>0.70833333333333337</v>
      </c>
      <c r="W155" s="10">
        <v>8</v>
      </c>
      <c r="X155" s="9">
        <v>0.33333333333333331</v>
      </c>
      <c r="Y155" s="9">
        <v>0.66666666666666663</v>
      </c>
      <c r="Z155" s="10">
        <v>8</v>
      </c>
      <c r="AA155" s="9">
        <v>0.33333333333333331</v>
      </c>
      <c r="AB155" s="9">
        <v>0.75</v>
      </c>
      <c r="AC155" s="10">
        <v>10</v>
      </c>
      <c r="AD155" s="9">
        <v>0.33333333333333331</v>
      </c>
      <c r="AE155" s="9">
        <v>0.73333333333333328</v>
      </c>
      <c r="AF155" s="94"/>
      <c r="AG155" s="4"/>
    </row>
    <row r="156" spans="2:41" hidden="1" x14ac:dyDescent="0.25">
      <c r="B156" s="8">
        <v>46137</v>
      </c>
      <c r="C156" s="22">
        <v>0.75</v>
      </c>
      <c r="D156" s="22">
        <v>0</v>
      </c>
      <c r="E156" s="10">
        <v>6</v>
      </c>
      <c r="F156" s="4"/>
      <c r="G156" s="4"/>
      <c r="H156" s="7"/>
      <c r="I156" s="7"/>
      <c r="J156" s="7"/>
      <c r="K156" s="7"/>
      <c r="L156" s="4"/>
      <c r="M156" s="4"/>
      <c r="N156" s="7"/>
      <c r="O156" s="31"/>
      <c r="P156" s="31"/>
      <c r="Q156" s="10"/>
      <c r="R156" s="31">
        <v>0.33333333333333331</v>
      </c>
      <c r="S156" s="31">
        <v>0.75</v>
      </c>
      <c r="T156" s="10">
        <v>10</v>
      </c>
      <c r="U156" s="31">
        <v>0.375</v>
      </c>
      <c r="V156" s="31">
        <v>0.58333333333333337</v>
      </c>
      <c r="W156" s="7">
        <v>5</v>
      </c>
      <c r="X156" s="4"/>
      <c r="Y156" s="4"/>
      <c r="Z156" s="7"/>
      <c r="AA156" s="9"/>
      <c r="AB156" s="9"/>
      <c r="AC156" s="10"/>
      <c r="AD156" s="4"/>
      <c r="AE156" s="4"/>
      <c r="AF156" s="94"/>
      <c r="AG156" s="4"/>
    </row>
    <row r="157" spans="2:41" hidden="1" x14ac:dyDescent="0.25">
      <c r="B157" s="8">
        <v>46138</v>
      </c>
      <c r="C157" s="22"/>
      <c r="D157" s="22"/>
      <c r="E157" s="22"/>
      <c r="F157" s="4"/>
      <c r="G157" s="4"/>
      <c r="H157" s="7"/>
      <c r="I157" s="7"/>
      <c r="J157" s="7"/>
      <c r="K157" s="7"/>
      <c r="L157" s="31"/>
      <c r="M157" s="31"/>
      <c r="N157" s="10"/>
      <c r="O157" s="4"/>
      <c r="P157" s="4"/>
      <c r="Q157" s="7"/>
      <c r="R157" s="31"/>
      <c r="S157" s="31"/>
      <c r="T157" s="10"/>
      <c r="U157" s="7"/>
      <c r="V157" s="7"/>
      <c r="W157" s="7"/>
      <c r="X157" s="31">
        <v>0.33333333333333331</v>
      </c>
      <c r="Y157" s="31">
        <v>0.75</v>
      </c>
      <c r="Z157" s="10">
        <v>10</v>
      </c>
      <c r="AA157" s="4"/>
      <c r="AB157" s="4"/>
      <c r="AC157" s="7"/>
      <c r="AD157" s="4"/>
      <c r="AE157" s="4"/>
      <c r="AF157" s="94"/>
      <c r="AG157" s="4"/>
    </row>
    <row r="158" spans="2:41" hidden="1" x14ac:dyDescent="0.25">
      <c r="B158" s="4"/>
      <c r="C158" s="14"/>
      <c r="D158" s="14"/>
      <c r="E158" s="15">
        <v>36</v>
      </c>
      <c r="F158" s="4"/>
      <c r="G158" s="4"/>
      <c r="H158" s="15">
        <f>SUM(H151:H157)</f>
        <v>48</v>
      </c>
      <c r="I158" s="15"/>
      <c r="J158" s="15"/>
      <c r="K158" s="15">
        <f>SUM(K151:K157)</f>
        <v>48</v>
      </c>
      <c r="L158" s="4"/>
      <c r="M158" s="4"/>
      <c r="N158" s="15">
        <f>SUM(N151:N157)</f>
        <v>48</v>
      </c>
      <c r="O158" s="4"/>
      <c r="P158" s="4"/>
      <c r="Q158" s="15">
        <f>SUM(Q151:Q157)</f>
        <v>48</v>
      </c>
      <c r="R158" s="4"/>
      <c r="S158" s="4"/>
      <c r="T158" s="15">
        <f>SUM(T151:T157)</f>
        <v>48</v>
      </c>
      <c r="U158" s="7"/>
      <c r="V158" s="7"/>
      <c r="W158" s="15">
        <f>SUM(W151:W157)</f>
        <v>46.5</v>
      </c>
      <c r="X158" s="4"/>
      <c r="Y158" s="4"/>
      <c r="Z158" s="15">
        <f>SUM(Z151:Z157)</f>
        <v>48</v>
      </c>
      <c r="AA158" s="4"/>
      <c r="AB158" s="4"/>
      <c r="AC158" s="17">
        <f>SUM(AC151:AC157)</f>
        <v>48</v>
      </c>
      <c r="AD158" s="4"/>
      <c r="AE158" s="4"/>
      <c r="AF158" s="40"/>
      <c r="AG158" s="89">
        <v>0</v>
      </c>
    </row>
    <row r="159" spans="2:41" x14ac:dyDescent="0.25">
      <c r="B159" s="8">
        <v>46139</v>
      </c>
      <c r="C159" s="22">
        <v>0.75</v>
      </c>
      <c r="D159" s="22">
        <v>0</v>
      </c>
      <c r="E159" s="10">
        <v>6</v>
      </c>
      <c r="F159" s="9">
        <v>0.375</v>
      </c>
      <c r="G159" s="9">
        <v>0.66666666666666663</v>
      </c>
      <c r="H159" s="10">
        <v>7</v>
      </c>
      <c r="I159" s="9">
        <v>0.33333333333333331</v>
      </c>
      <c r="J159" s="9">
        <v>0.66666666666666663</v>
      </c>
      <c r="K159" s="10">
        <v>8</v>
      </c>
      <c r="L159" s="9">
        <v>0.33333333333333331</v>
      </c>
      <c r="M159" s="9">
        <v>0.75</v>
      </c>
      <c r="N159" s="10">
        <v>10</v>
      </c>
      <c r="O159" s="103">
        <v>0.375</v>
      </c>
      <c r="P159" s="103">
        <v>0.66666666666666663</v>
      </c>
      <c r="Q159" s="104">
        <v>7</v>
      </c>
      <c r="R159" s="9">
        <v>0.33333333333333331</v>
      </c>
      <c r="S159" s="9">
        <v>0.75</v>
      </c>
      <c r="T159" s="10">
        <v>10</v>
      </c>
      <c r="U159" s="9">
        <v>0.375</v>
      </c>
      <c r="V159" s="9">
        <v>0.72916666666666663</v>
      </c>
      <c r="W159" s="10">
        <v>8.5</v>
      </c>
      <c r="X159" s="9">
        <v>0.33333333333333331</v>
      </c>
      <c r="Y159" s="9">
        <v>0.77083333333333337</v>
      </c>
      <c r="Z159" s="10">
        <v>10.5</v>
      </c>
      <c r="AA159" s="9">
        <v>0.33333333333333331</v>
      </c>
      <c r="AB159" s="9">
        <v>0.75</v>
      </c>
      <c r="AC159" s="10">
        <v>10</v>
      </c>
      <c r="AD159" s="9">
        <v>0.33333333333333331</v>
      </c>
      <c r="AE159" s="9">
        <v>0.73333333333333328</v>
      </c>
      <c r="AF159" s="94"/>
      <c r="AG159" s="4"/>
      <c r="AK159" s="111">
        <v>0.33333333333333331</v>
      </c>
      <c r="AL159" s="111">
        <v>0.33333333333333331</v>
      </c>
      <c r="AM159" s="111">
        <v>0.29166666666666669</v>
      </c>
      <c r="AN159" s="111">
        <v>0.33333333333333331</v>
      </c>
      <c r="AO159" s="111">
        <v>0.33333333333333331</v>
      </c>
    </row>
    <row r="160" spans="2:41" x14ac:dyDescent="0.25">
      <c r="B160" s="8">
        <v>46140</v>
      </c>
      <c r="C160" s="22">
        <v>0.75</v>
      </c>
      <c r="D160" s="22">
        <v>0</v>
      </c>
      <c r="E160" s="10">
        <v>6</v>
      </c>
      <c r="F160" s="9">
        <v>0.375</v>
      </c>
      <c r="G160" s="9">
        <v>0.66666666666666663</v>
      </c>
      <c r="H160" s="10">
        <v>7</v>
      </c>
      <c r="I160" s="9">
        <v>0.33333333333333331</v>
      </c>
      <c r="J160" s="9">
        <v>0.66666666666666663</v>
      </c>
      <c r="K160" s="10">
        <v>8</v>
      </c>
      <c r="L160" s="9">
        <v>0.33333333333333331</v>
      </c>
      <c r="M160" s="9">
        <v>0.75</v>
      </c>
      <c r="N160" s="10">
        <v>10</v>
      </c>
      <c r="O160" s="103">
        <v>0.375</v>
      </c>
      <c r="P160" s="103">
        <v>0.72916666666666663</v>
      </c>
      <c r="Q160" s="104">
        <v>8.5</v>
      </c>
      <c r="R160" s="9">
        <v>0.33333333333333331</v>
      </c>
      <c r="S160" s="9">
        <v>0.75</v>
      </c>
      <c r="T160" s="10">
        <v>10</v>
      </c>
      <c r="U160" s="9">
        <v>0.375</v>
      </c>
      <c r="V160" s="9">
        <v>0.72916666666666663</v>
      </c>
      <c r="W160" s="10">
        <v>8.5</v>
      </c>
      <c r="X160" s="9">
        <v>0.33333333333333331</v>
      </c>
      <c r="Y160" s="9">
        <v>0.77083333333333337</v>
      </c>
      <c r="Z160" s="10">
        <v>10.5</v>
      </c>
      <c r="AA160" s="9">
        <v>0.33333333333333331</v>
      </c>
      <c r="AB160" s="9">
        <v>0.75</v>
      </c>
      <c r="AC160" s="10">
        <v>10</v>
      </c>
      <c r="AD160" s="9">
        <v>0.33333333333333331</v>
      </c>
      <c r="AE160" s="9">
        <v>0.73333333333333328</v>
      </c>
      <c r="AF160" s="94"/>
      <c r="AG160" s="4"/>
      <c r="AK160" s="109">
        <v>0.73333333333333328</v>
      </c>
      <c r="AL160" s="109">
        <v>0.73333333333333328</v>
      </c>
      <c r="AM160" s="109">
        <v>0.69166666666666665</v>
      </c>
      <c r="AN160" s="109">
        <v>0.73333333333333328</v>
      </c>
      <c r="AO160" s="109">
        <v>0.73333333333333328</v>
      </c>
    </row>
    <row r="161" spans="2:41" x14ac:dyDescent="0.25">
      <c r="B161" s="8">
        <v>46141</v>
      </c>
      <c r="C161" s="22">
        <v>0.75</v>
      </c>
      <c r="D161" s="22">
        <v>0</v>
      </c>
      <c r="E161" s="10">
        <v>6</v>
      </c>
      <c r="F161" s="9">
        <v>0.33333333333333331</v>
      </c>
      <c r="G161" s="9">
        <v>0.66666666666666663</v>
      </c>
      <c r="H161" s="10">
        <v>8</v>
      </c>
      <c r="I161" s="9">
        <v>0.375</v>
      </c>
      <c r="J161" s="9">
        <v>0.66666666666666663</v>
      </c>
      <c r="K161" s="10">
        <v>7</v>
      </c>
      <c r="L161" s="9">
        <v>0.33333333333333331</v>
      </c>
      <c r="M161" s="9">
        <v>0.75</v>
      </c>
      <c r="N161" s="10">
        <v>10</v>
      </c>
      <c r="O161" s="103">
        <v>0.375</v>
      </c>
      <c r="P161" s="103">
        <v>0.6875</v>
      </c>
      <c r="Q161" s="104">
        <v>7.5</v>
      </c>
      <c r="R161" s="9">
        <v>0.33333333333333331</v>
      </c>
      <c r="S161" s="9">
        <v>0.75</v>
      </c>
      <c r="T161" s="10">
        <v>10</v>
      </c>
      <c r="U161" s="9">
        <v>0.375</v>
      </c>
      <c r="V161" s="9">
        <v>0.72916666666666663</v>
      </c>
      <c r="W161" s="10">
        <v>8.5</v>
      </c>
      <c r="X161" s="9">
        <v>0.33333333333333331</v>
      </c>
      <c r="Y161" s="9">
        <v>0.6875</v>
      </c>
      <c r="Z161" s="10">
        <v>8.5</v>
      </c>
      <c r="AA161" s="9">
        <v>0.33333333333333331</v>
      </c>
      <c r="AB161" s="9">
        <v>0.75</v>
      </c>
      <c r="AC161" s="10">
        <v>10</v>
      </c>
      <c r="AD161" s="9">
        <v>0.29166666666666669</v>
      </c>
      <c r="AE161" s="9">
        <v>0.69166666666666665</v>
      </c>
      <c r="AF161" s="94"/>
      <c r="AG161" s="4"/>
      <c r="AK161" s="109">
        <f>AK160-AK159</f>
        <v>0.39999999999999997</v>
      </c>
      <c r="AL161" s="109">
        <f t="shared" ref="AL161:AO161" si="0">AL160-AL159</f>
        <v>0.39999999999999997</v>
      </c>
      <c r="AM161" s="109">
        <f t="shared" si="0"/>
        <v>0.39999999999999997</v>
      </c>
      <c r="AN161" s="109">
        <f t="shared" si="0"/>
        <v>0.39999999999999997</v>
      </c>
      <c r="AO161" s="109">
        <f t="shared" si="0"/>
        <v>0.39999999999999997</v>
      </c>
    </row>
    <row r="162" spans="2:41" x14ac:dyDescent="0.25">
      <c r="B162" s="8">
        <v>46142</v>
      </c>
      <c r="C162" s="22">
        <v>0.75</v>
      </c>
      <c r="D162" s="22">
        <v>0</v>
      </c>
      <c r="E162" s="10">
        <v>6</v>
      </c>
      <c r="F162" s="9">
        <v>0.33333333333333331</v>
      </c>
      <c r="G162" s="9">
        <v>0.66666666666666663</v>
      </c>
      <c r="H162" s="10">
        <v>8</v>
      </c>
      <c r="I162" s="9">
        <v>0.375</v>
      </c>
      <c r="J162" s="9">
        <v>0.66666666666666663</v>
      </c>
      <c r="K162" s="10">
        <v>7</v>
      </c>
      <c r="L162" s="9">
        <v>0.33333333333333331</v>
      </c>
      <c r="M162" s="9">
        <v>0.75</v>
      </c>
      <c r="N162" s="10">
        <v>10</v>
      </c>
      <c r="O162" s="103">
        <v>0.33333333333333331</v>
      </c>
      <c r="P162" s="103">
        <v>0.625</v>
      </c>
      <c r="Q162" s="104">
        <v>7</v>
      </c>
      <c r="R162" s="9">
        <v>0.33333333333333331</v>
      </c>
      <c r="S162" s="9">
        <v>0.75</v>
      </c>
      <c r="T162" s="10">
        <v>10</v>
      </c>
      <c r="U162" s="9">
        <v>0.375</v>
      </c>
      <c r="V162" s="9">
        <v>0.70833333333333337</v>
      </c>
      <c r="W162" s="10">
        <v>8</v>
      </c>
      <c r="X162" s="9">
        <v>0.33333333333333331</v>
      </c>
      <c r="Y162" s="9">
        <v>0.77083333333333337</v>
      </c>
      <c r="Z162" s="10">
        <v>10.5</v>
      </c>
      <c r="AA162" s="9">
        <v>0.33333333333333331</v>
      </c>
      <c r="AB162" s="9">
        <v>0.75</v>
      </c>
      <c r="AC162" s="10">
        <v>10</v>
      </c>
      <c r="AD162" s="9">
        <v>0.33333333333333331</v>
      </c>
      <c r="AE162" s="9">
        <v>0.73333333333333328</v>
      </c>
      <c r="AF162" s="94"/>
      <c r="AG162" s="4"/>
    </row>
    <row r="163" spans="2:41" x14ac:dyDescent="0.25">
      <c r="B163" s="8">
        <v>46143</v>
      </c>
      <c r="C163" s="91">
        <v>0.66666666666666663</v>
      </c>
      <c r="D163" s="91">
        <v>0.91666666666666663</v>
      </c>
      <c r="E163" s="36">
        <v>6</v>
      </c>
      <c r="F163" s="9">
        <v>0.33333333333333331</v>
      </c>
      <c r="G163" s="9">
        <v>0.66666666666666663</v>
      </c>
      <c r="H163" s="10">
        <v>8</v>
      </c>
      <c r="I163" s="9">
        <v>0.33333333333333331</v>
      </c>
      <c r="J163" s="9">
        <v>0.66666666666666663</v>
      </c>
      <c r="K163" s="10">
        <v>8</v>
      </c>
      <c r="L163" s="9">
        <v>0.33333333333333331</v>
      </c>
      <c r="M163" s="9">
        <v>0.66666666666666663</v>
      </c>
      <c r="N163" s="10">
        <v>8</v>
      </c>
      <c r="O163" s="103">
        <v>0.33333333333333331</v>
      </c>
      <c r="P163" s="103">
        <v>0.66666666666666663</v>
      </c>
      <c r="Q163" s="104">
        <v>8</v>
      </c>
      <c r="R163" s="35">
        <v>0.33333333333333331</v>
      </c>
      <c r="S163" s="35">
        <v>0.66666666666666663</v>
      </c>
      <c r="T163" s="36">
        <v>8</v>
      </c>
      <c r="U163" s="9">
        <v>0.375</v>
      </c>
      <c r="V163" s="9">
        <v>0.70833333333333337</v>
      </c>
      <c r="W163" s="10">
        <v>8</v>
      </c>
      <c r="X163" s="9">
        <v>0.33333333333333331</v>
      </c>
      <c r="Y163" s="9">
        <v>0.66666666666666663</v>
      </c>
      <c r="Z163" s="10">
        <v>8</v>
      </c>
      <c r="AA163" s="9">
        <v>0.33333333333333331</v>
      </c>
      <c r="AB163" s="9">
        <v>0.66666666666666663</v>
      </c>
      <c r="AC163" s="10">
        <v>8</v>
      </c>
      <c r="AD163" s="9">
        <v>0.33333333333333331</v>
      </c>
      <c r="AE163" s="9">
        <v>0.73333333333333328</v>
      </c>
      <c r="AF163" s="94"/>
      <c r="AG163" s="4"/>
    </row>
    <row r="164" spans="2:41" x14ac:dyDescent="0.25">
      <c r="B164" s="8">
        <v>46144</v>
      </c>
      <c r="C164" s="22">
        <v>0.75</v>
      </c>
      <c r="D164" s="22">
        <v>0</v>
      </c>
      <c r="E164" s="10">
        <v>6</v>
      </c>
      <c r="F164" s="31">
        <v>0.33333333333333331</v>
      </c>
      <c r="G164" s="31">
        <v>0.75</v>
      </c>
      <c r="H164" s="10">
        <v>10</v>
      </c>
      <c r="I164" s="7"/>
      <c r="J164" s="7"/>
      <c r="K164" s="7"/>
      <c r="L164" s="4"/>
      <c r="M164" s="4"/>
      <c r="N164" s="7"/>
      <c r="O164" s="105">
        <v>0.33333333333333331</v>
      </c>
      <c r="P164" s="105">
        <v>0.75</v>
      </c>
      <c r="Q164" s="104">
        <v>10</v>
      </c>
      <c r="R164" s="31"/>
      <c r="S164" s="31"/>
      <c r="T164" s="10"/>
      <c r="U164" s="7"/>
      <c r="V164" s="7"/>
      <c r="W164" s="7"/>
      <c r="X164" s="4"/>
      <c r="Y164" s="4"/>
      <c r="Z164" s="7"/>
      <c r="AA164" s="9"/>
      <c r="AB164" s="9"/>
      <c r="AC164" s="10"/>
      <c r="AD164" s="4"/>
      <c r="AE164" s="4"/>
      <c r="AF164" s="94"/>
      <c r="AG164" s="4"/>
    </row>
    <row r="165" spans="2:41" x14ac:dyDescent="0.25">
      <c r="B165" s="8">
        <v>46145</v>
      </c>
      <c r="C165" s="22"/>
      <c r="D165" s="22"/>
      <c r="E165" s="22"/>
      <c r="F165" s="4"/>
      <c r="G165" s="4"/>
      <c r="H165" s="7"/>
      <c r="I165" s="31">
        <v>0.33333333333333331</v>
      </c>
      <c r="J165" s="31">
        <v>0.75</v>
      </c>
      <c r="K165" s="10">
        <v>10</v>
      </c>
      <c r="L165" s="31"/>
      <c r="M165" s="31"/>
      <c r="N165" s="10"/>
      <c r="O165" s="4"/>
      <c r="P165" s="4"/>
      <c r="Q165" s="7"/>
      <c r="R165" s="31"/>
      <c r="S165" s="31"/>
      <c r="T165" s="10"/>
      <c r="U165" s="11">
        <v>0.375</v>
      </c>
      <c r="V165" s="11">
        <v>0.58333333333333337</v>
      </c>
      <c r="W165" s="10">
        <v>5</v>
      </c>
      <c r="X165" s="31"/>
      <c r="Y165" s="31"/>
      <c r="Z165" s="10"/>
      <c r="AA165" s="4"/>
      <c r="AB165" s="4"/>
      <c r="AC165" s="7"/>
      <c r="AD165" s="4"/>
      <c r="AE165" s="4"/>
      <c r="AF165" s="94"/>
      <c r="AG165" s="4"/>
    </row>
    <row r="166" spans="2:41" x14ac:dyDescent="0.25">
      <c r="B166" s="4"/>
      <c r="C166" s="14"/>
      <c r="D166" s="14"/>
      <c r="E166" s="15">
        <v>36</v>
      </c>
      <c r="F166" s="4"/>
      <c r="G166" s="4"/>
      <c r="H166" s="15">
        <f>SUM(H159:H165)</f>
        <v>48</v>
      </c>
      <c r="I166" s="15"/>
      <c r="J166" s="15"/>
      <c r="K166" s="15">
        <f>SUM(K159:K165)</f>
        <v>48</v>
      </c>
      <c r="L166" s="4"/>
      <c r="M166" s="4"/>
      <c r="N166" s="15">
        <f>SUM(N159:N165)</f>
        <v>48</v>
      </c>
      <c r="O166" s="4"/>
      <c r="P166" s="4"/>
      <c r="Q166" s="15">
        <f>SUM(Q159:Q165)</f>
        <v>48</v>
      </c>
      <c r="R166" s="4"/>
      <c r="S166" s="4"/>
      <c r="T166" s="15">
        <f>SUM(T159:T165)</f>
        <v>48</v>
      </c>
      <c r="U166" s="7"/>
      <c r="V166" s="7"/>
      <c r="W166" s="15">
        <f>SUM(W159:W165)</f>
        <v>46.5</v>
      </c>
      <c r="X166" s="4"/>
      <c r="Y166" s="4"/>
      <c r="Z166" s="15">
        <f>SUM(Z159:Z165)</f>
        <v>48</v>
      </c>
      <c r="AA166" s="4"/>
      <c r="AB166" s="4"/>
      <c r="AC166" s="17">
        <f>SUM(AC159:AC165)</f>
        <v>48</v>
      </c>
      <c r="AD166" s="4"/>
      <c r="AE166" s="4"/>
      <c r="AF166" s="40"/>
      <c r="AG166" s="89">
        <v>0</v>
      </c>
    </row>
    <row r="168" spans="2:41" x14ac:dyDescent="0.25">
      <c r="B168" s="8">
        <v>46146</v>
      </c>
      <c r="C168" s="22">
        <v>0.75</v>
      </c>
      <c r="D168" s="22">
        <v>0</v>
      </c>
      <c r="E168" s="10">
        <v>6</v>
      </c>
      <c r="F168" s="9"/>
      <c r="G168" s="9"/>
      <c r="H168" s="10"/>
      <c r="I168" s="9">
        <v>0.33333333333333331</v>
      </c>
      <c r="J168" s="9">
        <v>0.75</v>
      </c>
      <c r="K168" s="10">
        <v>10</v>
      </c>
      <c r="L168" s="9">
        <v>0.33333333333333331</v>
      </c>
      <c r="M168" s="9">
        <v>0.66666666666666663</v>
      </c>
      <c r="N168" s="10">
        <v>8</v>
      </c>
      <c r="O168" s="9">
        <v>0.375</v>
      </c>
      <c r="P168" s="9">
        <v>0.75</v>
      </c>
      <c r="Q168" s="10">
        <v>9</v>
      </c>
      <c r="R168" s="9">
        <v>0.33333333333333331</v>
      </c>
      <c r="S168" s="9">
        <v>0.75</v>
      </c>
      <c r="T168" s="10">
        <v>10</v>
      </c>
      <c r="U168" s="9">
        <v>0.375</v>
      </c>
      <c r="V168" s="9">
        <v>0.77083333333333337</v>
      </c>
      <c r="W168" s="10">
        <v>9.5</v>
      </c>
      <c r="X168" s="9">
        <v>0.33333333333333331</v>
      </c>
      <c r="Y168" s="9">
        <v>0.66666666666666663</v>
      </c>
      <c r="Z168" s="10">
        <v>8</v>
      </c>
      <c r="AA168" s="9">
        <v>0.33333333333333331</v>
      </c>
      <c r="AB168" s="9">
        <v>0.72916666666666663</v>
      </c>
      <c r="AC168" s="10">
        <v>9.5</v>
      </c>
      <c r="AD168" s="9">
        <v>0.33333333333333331</v>
      </c>
      <c r="AE168" s="9">
        <v>0.73333333333333328</v>
      </c>
      <c r="AF168" s="94"/>
      <c r="AG168" s="4"/>
      <c r="AK168" s="111">
        <v>0.33333333333333331</v>
      </c>
      <c r="AL168" s="111">
        <v>0.33333333333333331</v>
      </c>
      <c r="AM168" s="111">
        <v>0.33333333333333331</v>
      </c>
      <c r="AN168" s="111">
        <v>0.33333333333333331</v>
      </c>
      <c r="AO168" s="111">
        <v>0.33333333333333331</v>
      </c>
    </row>
    <row r="169" spans="2:41" x14ac:dyDescent="0.25">
      <c r="B169" s="8">
        <v>46147</v>
      </c>
      <c r="C169" s="22">
        <v>0.75</v>
      </c>
      <c r="D169" s="22">
        <v>0</v>
      </c>
      <c r="E169" s="10">
        <v>6</v>
      </c>
      <c r="F169" s="9"/>
      <c r="G169" s="9"/>
      <c r="H169" s="10"/>
      <c r="I169" s="9">
        <v>0.33333333333333331</v>
      </c>
      <c r="J169" s="9">
        <v>0.75</v>
      </c>
      <c r="K169" s="10">
        <v>10</v>
      </c>
      <c r="L169" s="9">
        <v>0.375</v>
      </c>
      <c r="M169" s="9">
        <v>0.66666666666666663</v>
      </c>
      <c r="N169" s="10">
        <v>7</v>
      </c>
      <c r="O169" s="9">
        <v>0.375</v>
      </c>
      <c r="P169" s="9">
        <v>0.75</v>
      </c>
      <c r="Q169" s="10">
        <v>9</v>
      </c>
      <c r="R169" s="9">
        <v>0.33333333333333331</v>
      </c>
      <c r="S169" s="9">
        <v>0.75</v>
      </c>
      <c r="T169" s="10">
        <v>10</v>
      </c>
      <c r="U169" s="9">
        <v>0.375</v>
      </c>
      <c r="V169" s="9">
        <v>0.77083333333333337</v>
      </c>
      <c r="W169" s="10">
        <v>9.5</v>
      </c>
      <c r="X169" s="9">
        <v>0.33333333333333331</v>
      </c>
      <c r="Y169" s="9">
        <v>0.66666666666666663</v>
      </c>
      <c r="Z169" s="10">
        <v>8</v>
      </c>
      <c r="AA169" s="9">
        <v>0.33333333333333331</v>
      </c>
      <c r="AB169" s="9">
        <v>0.72916666666666663</v>
      </c>
      <c r="AC169" s="10">
        <v>9.5</v>
      </c>
      <c r="AD169" s="9">
        <v>0.33333333333333331</v>
      </c>
      <c r="AE169" s="9">
        <v>0.73333333333333328</v>
      </c>
      <c r="AF169" s="94"/>
      <c r="AG169" s="4"/>
      <c r="AK169" s="109">
        <v>0.73333333333333328</v>
      </c>
      <c r="AL169" s="109">
        <v>0.73333333333333328</v>
      </c>
      <c r="AM169" s="109">
        <v>0.73333333333333328</v>
      </c>
      <c r="AN169" s="109">
        <v>0.73333333333333328</v>
      </c>
      <c r="AO169" s="109">
        <v>0.73333333333333328</v>
      </c>
    </row>
    <row r="170" spans="2:41" x14ac:dyDescent="0.25">
      <c r="B170" s="8">
        <v>46148</v>
      </c>
      <c r="C170" s="22">
        <v>0.75</v>
      </c>
      <c r="D170" s="22">
        <v>0</v>
      </c>
      <c r="E170" s="10">
        <v>6</v>
      </c>
      <c r="F170" s="9"/>
      <c r="G170" s="9"/>
      <c r="H170" s="10"/>
      <c r="I170" s="9">
        <v>0.33333333333333331</v>
      </c>
      <c r="J170" s="9">
        <v>0.75</v>
      </c>
      <c r="K170" s="10">
        <v>10</v>
      </c>
      <c r="L170" s="9">
        <v>0.375</v>
      </c>
      <c r="M170" s="9">
        <v>0.66666666666666663</v>
      </c>
      <c r="N170" s="10">
        <v>7</v>
      </c>
      <c r="O170" s="9">
        <v>0.33333333333333331</v>
      </c>
      <c r="P170" s="9">
        <v>0.75</v>
      </c>
      <c r="Q170" s="10">
        <v>10</v>
      </c>
      <c r="R170" s="35">
        <v>0.33333333333333331</v>
      </c>
      <c r="S170" s="35">
        <v>0.75</v>
      </c>
      <c r="T170" s="36">
        <v>10</v>
      </c>
      <c r="U170" s="9">
        <v>0.375</v>
      </c>
      <c r="V170" s="9">
        <v>0.75</v>
      </c>
      <c r="W170" s="10">
        <v>9</v>
      </c>
      <c r="X170" s="9">
        <v>0.33333333333333331</v>
      </c>
      <c r="Y170" s="9">
        <v>0.66666666666666663</v>
      </c>
      <c r="Z170" s="10">
        <v>8</v>
      </c>
      <c r="AA170" s="9">
        <v>0.33333333333333331</v>
      </c>
      <c r="AB170" s="9">
        <v>0.75</v>
      </c>
      <c r="AC170" s="10">
        <v>10</v>
      </c>
      <c r="AD170" s="9">
        <v>0.33333333333333331</v>
      </c>
      <c r="AE170" s="9">
        <v>0.73333333333333328</v>
      </c>
      <c r="AF170" s="94"/>
      <c r="AG170" s="4"/>
      <c r="AK170" s="109">
        <f>AK169-AK168</f>
        <v>0.39999999999999997</v>
      </c>
      <c r="AL170" s="109">
        <f t="shared" ref="AL170:AO170" si="1">AL169-AL168</f>
        <v>0.39999999999999997</v>
      </c>
      <c r="AM170" s="109">
        <f t="shared" si="1"/>
        <v>0.39999999999999997</v>
      </c>
      <c r="AN170" s="109">
        <f t="shared" si="1"/>
        <v>0.39999999999999997</v>
      </c>
      <c r="AO170" s="109">
        <f t="shared" si="1"/>
        <v>0.39999999999999997</v>
      </c>
    </row>
    <row r="171" spans="2:41" x14ac:dyDescent="0.25">
      <c r="B171" s="8">
        <v>46149</v>
      </c>
      <c r="C171" s="22">
        <v>0.75</v>
      </c>
      <c r="D171" s="22">
        <v>0</v>
      </c>
      <c r="E171" s="10">
        <v>6</v>
      </c>
      <c r="F171" s="9"/>
      <c r="G171" s="9"/>
      <c r="H171" s="10"/>
      <c r="I171" s="9">
        <v>0.375</v>
      </c>
      <c r="J171" s="9">
        <v>0.75</v>
      </c>
      <c r="K171" s="10">
        <v>9</v>
      </c>
      <c r="L171" s="9">
        <v>0.33333333333333331</v>
      </c>
      <c r="M171" s="9">
        <v>0.66666666666666663</v>
      </c>
      <c r="N171" s="10">
        <v>8</v>
      </c>
      <c r="O171" s="9">
        <v>0.33333333333333331</v>
      </c>
      <c r="P171" s="9">
        <v>0.75</v>
      </c>
      <c r="Q171" s="10">
        <v>10</v>
      </c>
      <c r="R171" s="9">
        <v>0.33333333333333331</v>
      </c>
      <c r="S171" s="9">
        <v>0.70833333333333337</v>
      </c>
      <c r="T171" s="10">
        <v>9</v>
      </c>
      <c r="U171" s="9">
        <v>0.375</v>
      </c>
      <c r="V171" s="9">
        <v>0.77083333333333337</v>
      </c>
      <c r="W171" s="10">
        <v>9.5</v>
      </c>
      <c r="X171" s="9">
        <v>0.375</v>
      </c>
      <c r="Y171" s="9">
        <v>0.66666666666666663</v>
      </c>
      <c r="Z171" s="10">
        <v>7</v>
      </c>
      <c r="AA171" s="9">
        <v>0.33333333333333331</v>
      </c>
      <c r="AB171" s="9">
        <v>0.72916666666666663</v>
      </c>
      <c r="AC171" s="10">
        <v>9.5</v>
      </c>
      <c r="AD171" s="9">
        <v>0.33333333333333331</v>
      </c>
      <c r="AE171" s="9">
        <v>0.73333333333333328</v>
      </c>
      <c r="AF171" s="94"/>
      <c r="AG171" s="4"/>
    </row>
    <row r="172" spans="2:41" x14ac:dyDescent="0.25">
      <c r="B172" s="8">
        <v>46150</v>
      </c>
      <c r="C172" s="22">
        <v>0.75</v>
      </c>
      <c r="D172" s="22">
        <v>0</v>
      </c>
      <c r="E172" s="10">
        <v>6</v>
      </c>
      <c r="F172" s="9"/>
      <c r="G172" s="9"/>
      <c r="H172" s="10"/>
      <c r="I172" s="9">
        <v>0.375</v>
      </c>
      <c r="J172" s="9">
        <v>0.75</v>
      </c>
      <c r="K172" s="10">
        <v>9</v>
      </c>
      <c r="L172" s="9">
        <v>0.33333333333333331</v>
      </c>
      <c r="M172" s="9">
        <v>0.66666666666666663</v>
      </c>
      <c r="N172" s="10">
        <v>8</v>
      </c>
      <c r="O172" s="9">
        <v>0.33333333333333331</v>
      </c>
      <c r="P172" s="9">
        <v>0.75</v>
      </c>
      <c r="Q172" s="10">
        <v>10</v>
      </c>
      <c r="R172" s="9">
        <v>0.33333333333333331</v>
      </c>
      <c r="S172" s="9">
        <v>0.70833333333333337</v>
      </c>
      <c r="T172" s="10">
        <v>9</v>
      </c>
      <c r="U172" s="9">
        <v>0.375</v>
      </c>
      <c r="V172" s="9">
        <v>0.75</v>
      </c>
      <c r="W172" s="10">
        <v>9</v>
      </c>
      <c r="X172" s="9">
        <v>0.375</v>
      </c>
      <c r="Y172" s="9">
        <v>0.66666666666666663</v>
      </c>
      <c r="Z172" s="10">
        <v>7</v>
      </c>
      <c r="AA172" s="9">
        <v>0.33333333333333331</v>
      </c>
      <c r="AB172" s="9">
        <v>0.72916666666666663</v>
      </c>
      <c r="AC172" s="10">
        <v>9.5</v>
      </c>
      <c r="AD172" s="9">
        <v>0.33333333333333331</v>
      </c>
      <c r="AE172" s="9">
        <v>0.73333333333333328</v>
      </c>
      <c r="AF172" s="94"/>
      <c r="AG172" s="4"/>
    </row>
    <row r="173" spans="2:41" x14ac:dyDescent="0.25">
      <c r="B173" s="8">
        <v>46151</v>
      </c>
      <c r="C173" s="22">
        <v>0.75</v>
      </c>
      <c r="D173" s="22">
        <v>0</v>
      </c>
      <c r="E173" s="10">
        <v>6</v>
      </c>
      <c r="F173" s="31"/>
      <c r="G173" s="31"/>
      <c r="H173" s="10"/>
      <c r="I173" s="7"/>
      <c r="J173" s="7"/>
      <c r="K173" s="7"/>
      <c r="L173" s="31">
        <v>0.33333333333333331</v>
      </c>
      <c r="M173" s="31">
        <v>0.75</v>
      </c>
      <c r="N173" s="10">
        <v>10</v>
      </c>
      <c r="O173" s="31"/>
      <c r="P173" s="31"/>
      <c r="Q173" s="10"/>
      <c r="R173" s="31"/>
      <c r="S173" s="31"/>
      <c r="T173" s="10"/>
      <c r="U173" s="7"/>
      <c r="V173" s="7"/>
      <c r="W173" s="7"/>
      <c r="X173" s="4"/>
      <c r="Y173" s="4"/>
      <c r="Z173" s="7"/>
      <c r="AA173" s="9"/>
      <c r="AB173" s="9"/>
      <c r="AC173" s="10"/>
      <c r="AD173" s="4"/>
      <c r="AE173" s="4"/>
      <c r="AF173" s="94"/>
      <c r="AG173" s="4"/>
    </row>
    <row r="174" spans="2:41" x14ac:dyDescent="0.25">
      <c r="B174" s="8">
        <v>46152</v>
      </c>
      <c r="C174" s="22"/>
      <c r="D174" s="22"/>
      <c r="E174" s="22"/>
      <c r="F174" s="4"/>
      <c r="G174" s="4"/>
      <c r="H174" s="7"/>
      <c r="I174" s="31"/>
      <c r="J174" s="31"/>
      <c r="K174" s="10"/>
      <c r="L174" s="31"/>
      <c r="M174" s="31"/>
      <c r="N174" s="10"/>
      <c r="O174" s="4"/>
      <c r="P174" s="4"/>
      <c r="Q174" s="7"/>
      <c r="R174" s="31"/>
      <c r="S174" s="31"/>
      <c r="T174" s="10"/>
      <c r="U174" s="11"/>
      <c r="V174" s="11"/>
      <c r="W174" s="10"/>
      <c r="X174" s="31">
        <v>0.33333333333333331</v>
      </c>
      <c r="Y174" s="31">
        <v>0.75</v>
      </c>
      <c r="Z174" s="10">
        <v>10</v>
      </c>
      <c r="AA174" s="4"/>
      <c r="AB174" s="4"/>
      <c r="AC174" s="7"/>
      <c r="AD174" s="4"/>
      <c r="AE174" s="4"/>
      <c r="AF174" s="94"/>
      <c r="AG174" s="4"/>
    </row>
    <row r="175" spans="2:41" x14ac:dyDescent="0.25">
      <c r="B175" s="4"/>
      <c r="C175" s="14"/>
      <c r="D175" s="14"/>
      <c r="E175" s="15">
        <v>36</v>
      </c>
      <c r="F175" s="4"/>
      <c r="G175" s="4"/>
      <c r="H175" s="15">
        <f>SUM(H168:H174)</f>
        <v>0</v>
      </c>
      <c r="I175" s="15"/>
      <c r="J175" s="15"/>
      <c r="K175" s="15">
        <f>SUM(K168:K174)</f>
        <v>48</v>
      </c>
      <c r="L175" s="4"/>
      <c r="M175" s="4"/>
      <c r="N175" s="15">
        <f>SUM(N168:N174)</f>
        <v>48</v>
      </c>
      <c r="O175" s="4"/>
      <c r="P175" s="4"/>
      <c r="Q175" s="15">
        <f>SUM(Q168:Q174)</f>
        <v>48</v>
      </c>
      <c r="R175" s="4"/>
      <c r="S175" s="4"/>
      <c r="T175" s="15">
        <f>SUM(T168:T174)</f>
        <v>48</v>
      </c>
      <c r="U175" s="7"/>
      <c r="V175" s="7"/>
      <c r="W175" s="15">
        <f>SUM(W168:W174)</f>
        <v>46.5</v>
      </c>
      <c r="X175" s="4"/>
      <c r="Y175" s="4"/>
      <c r="Z175" s="15">
        <f>SUM(Z168:Z174)</f>
        <v>48</v>
      </c>
      <c r="AA175" s="4"/>
      <c r="AB175" s="4"/>
      <c r="AC175" s="17">
        <f>SUM(AC168:AC174)</f>
        <v>48</v>
      </c>
      <c r="AD175" s="4"/>
      <c r="AE175" s="4"/>
      <c r="AF175" s="40"/>
      <c r="AG175" s="89">
        <v>0</v>
      </c>
      <c r="AJ175" s="109"/>
    </row>
    <row r="176" spans="2:41" x14ac:dyDescent="0.25">
      <c r="AJ176" s="109"/>
    </row>
    <row r="177" spans="2:41" x14ac:dyDescent="0.25">
      <c r="B177" s="8">
        <v>46153</v>
      </c>
      <c r="C177" s="22">
        <v>0.75</v>
      </c>
      <c r="D177" s="22">
        <v>0</v>
      </c>
      <c r="E177" s="10">
        <v>6</v>
      </c>
      <c r="F177" s="9"/>
      <c r="G177" s="9"/>
      <c r="H177" s="10"/>
      <c r="I177" s="9">
        <v>0.33333333333333331</v>
      </c>
      <c r="J177" s="9">
        <v>0.66666666666666663</v>
      </c>
      <c r="K177" s="10">
        <v>8</v>
      </c>
      <c r="L177" s="9">
        <v>0.33333333333333331</v>
      </c>
      <c r="M177" s="9">
        <v>0.75</v>
      </c>
      <c r="N177" s="10">
        <v>10</v>
      </c>
      <c r="O177" s="9">
        <v>0.375</v>
      </c>
      <c r="P177" s="9">
        <v>0.75</v>
      </c>
      <c r="Q177" s="10">
        <v>9</v>
      </c>
      <c r="R177" s="9">
        <v>0.33333333333333331</v>
      </c>
      <c r="S177" s="9">
        <v>0.66666666666666663</v>
      </c>
      <c r="T177" s="10">
        <v>8</v>
      </c>
      <c r="U177" s="9">
        <v>0.375</v>
      </c>
      <c r="V177" s="9">
        <v>0.72916666666666663</v>
      </c>
      <c r="W177" s="10">
        <v>8.5</v>
      </c>
      <c r="X177" s="9">
        <v>0.375</v>
      </c>
      <c r="Y177" s="9">
        <v>0.75</v>
      </c>
      <c r="Z177" s="10">
        <v>9</v>
      </c>
      <c r="AA177" s="9">
        <v>0.33333333333333331</v>
      </c>
      <c r="AB177" s="9">
        <v>0.70833333333333337</v>
      </c>
      <c r="AC177" s="10">
        <v>9</v>
      </c>
      <c r="AD177" s="9">
        <v>0.3125</v>
      </c>
      <c r="AE177" s="9">
        <v>0.79166666666666663</v>
      </c>
      <c r="AF177" s="94"/>
      <c r="AG177" s="4"/>
      <c r="AJ177" s="110"/>
      <c r="AK177" s="111">
        <v>0.3125</v>
      </c>
      <c r="AL177" s="111">
        <v>0.3125</v>
      </c>
      <c r="AM177" s="111">
        <v>0.3125</v>
      </c>
      <c r="AN177" s="109">
        <v>0.33333333333333331</v>
      </c>
      <c r="AO177" s="109">
        <v>0.33333333333333331</v>
      </c>
    </row>
    <row r="178" spans="2:41" x14ac:dyDescent="0.25">
      <c r="B178" s="8">
        <v>46154</v>
      </c>
      <c r="C178" s="22">
        <v>0.75</v>
      </c>
      <c r="D178" s="22">
        <v>0</v>
      </c>
      <c r="E178" s="10">
        <v>6</v>
      </c>
      <c r="F178" s="9"/>
      <c r="G178" s="9"/>
      <c r="H178" s="10"/>
      <c r="I178" s="9">
        <v>0.33333333333333331</v>
      </c>
      <c r="J178" s="9">
        <v>0.66666666666666663</v>
      </c>
      <c r="K178" s="10">
        <v>8</v>
      </c>
      <c r="L178" s="9">
        <v>0.375</v>
      </c>
      <c r="M178" s="9">
        <v>0.75</v>
      </c>
      <c r="N178" s="10">
        <v>9</v>
      </c>
      <c r="O178" s="9">
        <v>0.33333333333333331</v>
      </c>
      <c r="P178" s="9">
        <v>0.75</v>
      </c>
      <c r="Q178" s="10">
        <v>10</v>
      </c>
      <c r="R178" s="9">
        <v>0.33333333333333331</v>
      </c>
      <c r="S178" s="9">
        <v>0.66666666666666663</v>
      </c>
      <c r="T178" s="10">
        <v>8</v>
      </c>
      <c r="U178" s="9">
        <v>0.375</v>
      </c>
      <c r="V178" s="9">
        <v>0.72916666666666663</v>
      </c>
      <c r="W178" s="10">
        <v>8.5</v>
      </c>
      <c r="X178" s="9">
        <v>0.375</v>
      </c>
      <c r="Y178" s="9">
        <v>0.75</v>
      </c>
      <c r="Z178" s="10">
        <v>9</v>
      </c>
      <c r="AA178" s="9">
        <v>0.33333333333333331</v>
      </c>
      <c r="AB178" s="9">
        <v>0.66666666666666663</v>
      </c>
      <c r="AC178" s="10">
        <v>8</v>
      </c>
      <c r="AD178" s="9">
        <v>0.3125</v>
      </c>
      <c r="AE178" s="9">
        <v>0.79166666666666663</v>
      </c>
      <c r="AF178" s="94"/>
      <c r="AG178" s="4"/>
      <c r="AJ178" s="109"/>
      <c r="AK178" s="109">
        <v>0.79166666666666663</v>
      </c>
      <c r="AL178" s="109">
        <v>0.79166666666666663</v>
      </c>
      <c r="AM178" s="109">
        <v>0.79166666666666663</v>
      </c>
      <c r="AN178" s="109">
        <v>0.5</v>
      </c>
      <c r="AO178" s="109">
        <v>0.73333333333333328</v>
      </c>
    </row>
    <row r="179" spans="2:41" x14ac:dyDescent="0.25">
      <c r="B179" s="8">
        <v>46155</v>
      </c>
      <c r="C179" s="22">
        <v>0.75</v>
      </c>
      <c r="D179" s="22">
        <v>0</v>
      </c>
      <c r="E179" s="10">
        <v>6</v>
      </c>
      <c r="F179" s="9"/>
      <c r="G179" s="9"/>
      <c r="H179" s="10"/>
      <c r="I179" s="9">
        <v>0.33333333333333331</v>
      </c>
      <c r="J179" s="9">
        <v>0.66666666666666663</v>
      </c>
      <c r="K179" s="10">
        <v>8</v>
      </c>
      <c r="L179" s="9">
        <v>0.375</v>
      </c>
      <c r="M179" s="9">
        <v>0.75</v>
      </c>
      <c r="N179" s="10">
        <v>9</v>
      </c>
      <c r="O179" s="9">
        <v>0.33333333333333331</v>
      </c>
      <c r="P179" s="9">
        <v>0.75</v>
      </c>
      <c r="Q179" s="10">
        <v>10</v>
      </c>
      <c r="R179" s="9">
        <v>0.33333333333333331</v>
      </c>
      <c r="S179" s="9">
        <v>0.625</v>
      </c>
      <c r="T179" s="10">
        <v>7</v>
      </c>
      <c r="U179" s="9">
        <v>0.375</v>
      </c>
      <c r="V179" s="9">
        <v>0.70833333333333337</v>
      </c>
      <c r="W179" s="10">
        <v>8</v>
      </c>
      <c r="X179" s="9">
        <v>0.33333333333333331</v>
      </c>
      <c r="Y179" s="9">
        <v>0.75</v>
      </c>
      <c r="Z179" s="10">
        <v>10</v>
      </c>
      <c r="AA179" s="9">
        <v>0.33333333333333331</v>
      </c>
      <c r="AB179" s="9">
        <v>0.70833333333333337</v>
      </c>
      <c r="AC179" s="10">
        <v>9</v>
      </c>
      <c r="AD179" s="9">
        <v>0.3125</v>
      </c>
      <c r="AE179" s="9">
        <v>0.79166666666666663</v>
      </c>
      <c r="AF179" s="94"/>
      <c r="AG179" s="4"/>
      <c r="AJ179" s="109"/>
      <c r="AK179" s="109">
        <f>AK178-AK177</f>
        <v>0.47916666666666663</v>
      </c>
      <c r="AL179" s="109">
        <f t="shared" ref="AL179:AO179" si="2">AL178-AL177</f>
        <v>0.47916666666666663</v>
      </c>
      <c r="AM179" s="109">
        <f t="shared" si="2"/>
        <v>0.47916666666666663</v>
      </c>
      <c r="AN179" s="109">
        <f t="shared" si="2"/>
        <v>0.16666666666666669</v>
      </c>
      <c r="AO179" s="109">
        <f t="shared" si="2"/>
        <v>0.39999999999999997</v>
      </c>
    </row>
    <row r="180" spans="2:41" x14ac:dyDescent="0.25">
      <c r="B180" s="8">
        <v>46156</v>
      </c>
      <c r="C180" s="22">
        <v>0.75</v>
      </c>
      <c r="D180" s="22">
        <v>0</v>
      </c>
      <c r="E180" s="10">
        <v>6</v>
      </c>
      <c r="F180" s="9"/>
      <c r="G180" s="9"/>
      <c r="H180" s="10"/>
      <c r="I180" s="9">
        <v>0.375</v>
      </c>
      <c r="J180" s="9">
        <v>0.66666666666666663</v>
      </c>
      <c r="K180" s="10">
        <v>7</v>
      </c>
      <c r="L180" s="9">
        <v>0.33333333333333331</v>
      </c>
      <c r="M180" s="9">
        <v>0.75</v>
      </c>
      <c r="N180" s="10">
        <v>10</v>
      </c>
      <c r="O180" s="9">
        <v>0.375</v>
      </c>
      <c r="P180" s="9">
        <v>0.75</v>
      </c>
      <c r="Q180" s="10">
        <v>9</v>
      </c>
      <c r="R180" s="9">
        <v>0.33333333333333331</v>
      </c>
      <c r="S180" s="9">
        <v>0.66666666666666663</v>
      </c>
      <c r="T180" s="10">
        <v>8</v>
      </c>
      <c r="U180" s="9">
        <v>0.375</v>
      </c>
      <c r="V180" s="9">
        <v>0.70833333333333337</v>
      </c>
      <c r="W180" s="10">
        <v>8</v>
      </c>
      <c r="X180" s="9">
        <v>0.33333333333333331</v>
      </c>
      <c r="Y180" s="9">
        <v>0.75</v>
      </c>
      <c r="Z180" s="10">
        <v>10</v>
      </c>
      <c r="AA180" s="9">
        <v>0.33333333333333331</v>
      </c>
      <c r="AB180" s="9">
        <v>0.66666666666666663</v>
      </c>
      <c r="AC180" s="10">
        <v>8</v>
      </c>
      <c r="AD180" s="9">
        <v>0.33333333333333331</v>
      </c>
      <c r="AE180" s="9">
        <v>0.73333333333333328</v>
      </c>
      <c r="AF180" s="94"/>
      <c r="AG180" s="4"/>
      <c r="AJ180" s="109"/>
      <c r="AK180" s="106"/>
    </row>
    <row r="181" spans="2:41" x14ac:dyDescent="0.25">
      <c r="B181" s="8">
        <v>46157</v>
      </c>
      <c r="C181" s="22">
        <v>0.75</v>
      </c>
      <c r="D181" s="22">
        <v>0</v>
      </c>
      <c r="E181" s="10">
        <v>6</v>
      </c>
      <c r="F181" s="9"/>
      <c r="G181" s="9"/>
      <c r="H181" s="10"/>
      <c r="I181" s="9">
        <v>0.375</v>
      </c>
      <c r="J181" s="9">
        <v>0.66666666666666663</v>
      </c>
      <c r="K181" s="10">
        <v>7</v>
      </c>
      <c r="L181" s="9">
        <v>0.33333333333333331</v>
      </c>
      <c r="M181" s="9">
        <v>0.75</v>
      </c>
      <c r="N181" s="10">
        <v>10</v>
      </c>
      <c r="O181" s="9">
        <v>0.33333333333333331</v>
      </c>
      <c r="P181" s="9">
        <v>0.75</v>
      </c>
      <c r="Q181" s="10">
        <v>10</v>
      </c>
      <c r="R181" s="9">
        <v>0.33333333333333331</v>
      </c>
      <c r="S181" s="9">
        <v>0.625</v>
      </c>
      <c r="T181" s="10">
        <v>7</v>
      </c>
      <c r="U181" s="9">
        <v>0.375</v>
      </c>
      <c r="V181" s="9">
        <v>0.72916666666666663</v>
      </c>
      <c r="W181" s="10">
        <v>8.5</v>
      </c>
      <c r="X181" s="9">
        <v>0.33333333333333331</v>
      </c>
      <c r="Y181" s="9">
        <v>0.75</v>
      </c>
      <c r="Z181" s="10">
        <v>10</v>
      </c>
      <c r="AA181" s="9">
        <v>0.33333333333333331</v>
      </c>
      <c r="AB181" s="9">
        <v>0.70833333333333337</v>
      </c>
      <c r="AC181" s="10">
        <v>9</v>
      </c>
      <c r="AD181" s="9">
        <v>0.33333333333333331</v>
      </c>
      <c r="AE181" s="9">
        <v>0.5</v>
      </c>
      <c r="AF181" s="112"/>
      <c r="AG181" s="4"/>
      <c r="AJ181" s="109"/>
      <c r="AK181" s="106"/>
    </row>
    <row r="182" spans="2:41" x14ac:dyDescent="0.25">
      <c r="B182" s="8">
        <v>46158</v>
      </c>
      <c r="C182" s="22">
        <v>0.75</v>
      </c>
      <c r="D182" s="22">
        <v>0</v>
      </c>
      <c r="E182" s="10">
        <v>6</v>
      </c>
      <c r="F182" s="31"/>
      <c r="G182" s="31"/>
      <c r="H182" s="10"/>
      <c r="I182" s="31">
        <v>0.33333333333333331</v>
      </c>
      <c r="J182" s="31">
        <v>0.75</v>
      </c>
      <c r="K182" s="10">
        <v>10</v>
      </c>
      <c r="L182" s="4"/>
      <c r="M182" s="4"/>
      <c r="N182" s="7"/>
      <c r="O182" s="31"/>
      <c r="P182" s="31"/>
      <c r="Q182" s="10"/>
      <c r="R182" s="31"/>
      <c r="S182" s="31"/>
      <c r="T182" s="10"/>
      <c r="U182" s="11">
        <v>0.375</v>
      </c>
      <c r="V182" s="11">
        <v>0.58333333333333337</v>
      </c>
      <c r="W182" s="10">
        <v>5</v>
      </c>
      <c r="X182" s="4"/>
      <c r="Y182" s="4"/>
      <c r="Z182" s="7"/>
      <c r="AA182" s="9">
        <v>0.33333333333333331</v>
      </c>
      <c r="AB182" s="9">
        <v>0.54166666666666663</v>
      </c>
      <c r="AC182" s="10">
        <v>5</v>
      </c>
      <c r="AD182" s="4"/>
      <c r="AE182" s="4"/>
      <c r="AF182" s="94"/>
      <c r="AG182" s="4"/>
      <c r="AJ182" s="109"/>
    </row>
    <row r="183" spans="2:41" x14ac:dyDescent="0.25">
      <c r="B183" s="8">
        <v>46159</v>
      </c>
      <c r="C183" s="22"/>
      <c r="D183" s="22"/>
      <c r="E183" s="22"/>
      <c r="F183" s="4"/>
      <c r="G183" s="4"/>
      <c r="H183" s="7"/>
      <c r="I183" s="31"/>
      <c r="J183" s="31"/>
      <c r="K183" s="10"/>
      <c r="L183" s="31"/>
      <c r="M183" s="31"/>
      <c r="N183" s="10"/>
      <c r="O183" s="4"/>
      <c r="P183" s="4"/>
      <c r="Q183" s="7"/>
      <c r="R183" s="31">
        <v>0.33333333333333331</v>
      </c>
      <c r="S183" s="31">
        <v>0.75</v>
      </c>
      <c r="T183" s="10">
        <v>10</v>
      </c>
      <c r="U183" s="11"/>
      <c r="V183" s="11"/>
      <c r="W183" s="10"/>
      <c r="X183" s="31"/>
      <c r="Y183" s="31"/>
      <c r="Z183" s="10"/>
      <c r="AA183" s="4"/>
      <c r="AB183" s="4"/>
      <c r="AC183" s="7"/>
      <c r="AD183" s="4"/>
      <c r="AE183" s="4"/>
      <c r="AF183" s="94"/>
      <c r="AG183" s="4"/>
      <c r="AJ183" s="109"/>
      <c r="AK183" s="106"/>
    </row>
    <row r="184" spans="2:41" x14ac:dyDescent="0.25">
      <c r="B184" s="4"/>
      <c r="C184" s="14"/>
      <c r="D184" s="14"/>
      <c r="E184" s="15">
        <v>36</v>
      </c>
      <c r="F184" s="4"/>
      <c r="G184" s="4"/>
      <c r="H184" s="15">
        <f>SUM(H177:H183)</f>
        <v>0</v>
      </c>
      <c r="I184" s="15"/>
      <c r="J184" s="15"/>
      <c r="K184" s="15">
        <f>SUM(K177:K183)</f>
        <v>48</v>
      </c>
      <c r="L184" s="4"/>
      <c r="M184" s="4"/>
      <c r="N184" s="15">
        <f>SUM(N177:N183)</f>
        <v>48</v>
      </c>
      <c r="O184" s="4"/>
      <c r="P184" s="4"/>
      <c r="Q184" s="15">
        <f>SUM(Q177:Q183)</f>
        <v>48</v>
      </c>
      <c r="R184" s="4"/>
      <c r="S184" s="4"/>
      <c r="T184" s="15">
        <f>SUM(T177:T183)</f>
        <v>48</v>
      </c>
      <c r="U184" s="7"/>
      <c r="V184" s="7"/>
      <c r="W184" s="15">
        <f>SUM(W177:W183)</f>
        <v>46.5</v>
      </c>
      <c r="X184" s="4"/>
      <c r="Y184" s="4"/>
      <c r="Z184" s="15">
        <f>SUM(Z177:Z183)</f>
        <v>48</v>
      </c>
      <c r="AA184" s="4"/>
      <c r="AB184" s="4"/>
      <c r="AC184" s="17">
        <f>SUM(AC177:AC183)</f>
        <v>48</v>
      </c>
      <c r="AD184" s="4"/>
      <c r="AE184" s="4"/>
      <c r="AF184" s="40"/>
      <c r="AG184" s="89">
        <v>0</v>
      </c>
    </row>
    <row r="185" spans="2:41" x14ac:dyDescent="0.25">
      <c r="AK185" s="106"/>
    </row>
    <row r="186" spans="2:41" x14ac:dyDescent="0.25">
      <c r="B186" s="8">
        <v>46160</v>
      </c>
      <c r="C186" s="22">
        <v>0.75</v>
      </c>
      <c r="D186" s="22">
        <v>0</v>
      </c>
      <c r="E186" s="10">
        <v>6</v>
      </c>
      <c r="F186" s="9"/>
      <c r="G186" s="9"/>
      <c r="H186" s="10"/>
      <c r="I186" s="9">
        <v>0.33333333333333331</v>
      </c>
      <c r="J186" s="9">
        <v>0.75</v>
      </c>
      <c r="K186" s="10">
        <v>10</v>
      </c>
      <c r="L186" s="9">
        <v>0.375</v>
      </c>
      <c r="M186" s="9">
        <v>0.75</v>
      </c>
      <c r="N186" s="10">
        <v>9</v>
      </c>
      <c r="O186" s="9">
        <v>0.33333333333333331</v>
      </c>
      <c r="P186" s="9">
        <v>0.66666666666666663</v>
      </c>
      <c r="Q186" s="10">
        <v>8</v>
      </c>
      <c r="R186" s="9">
        <v>0.33333333333333331</v>
      </c>
      <c r="S186" s="9">
        <v>0.75</v>
      </c>
      <c r="T186" s="10">
        <v>10</v>
      </c>
      <c r="U186" s="9">
        <v>0.375</v>
      </c>
      <c r="V186" s="9">
        <v>0.77083333333333337</v>
      </c>
      <c r="W186" s="10">
        <v>9.5</v>
      </c>
      <c r="X186" s="9">
        <v>0.375</v>
      </c>
      <c r="Y186" s="9">
        <v>0.66666666666666663</v>
      </c>
      <c r="Z186" s="10">
        <v>7</v>
      </c>
      <c r="AA186" s="9">
        <v>0.33333333333333331</v>
      </c>
      <c r="AB186" s="9">
        <v>0.72916666666666663</v>
      </c>
      <c r="AC186" s="10">
        <v>9.5</v>
      </c>
      <c r="AD186" s="9">
        <v>0.29166666666666669</v>
      </c>
      <c r="AE186" s="9">
        <v>0.79166666666666663</v>
      </c>
      <c r="AF186" s="94"/>
      <c r="AG186" s="4"/>
      <c r="AK186" s="111">
        <v>0.29166666666666669</v>
      </c>
      <c r="AL186" s="111">
        <v>0.29166666666666669</v>
      </c>
      <c r="AM186" s="111">
        <v>0.33333333333333331</v>
      </c>
      <c r="AN186" s="111">
        <v>0.33333333333333331</v>
      </c>
      <c r="AO186" s="111">
        <v>0.33333333333333331</v>
      </c>
    </row>
    <row r="187" spans="2:41" x14ac:dyDescent="0.25">
      <c r="B187" s="8">
        <v>46161</v>
      </c>
      <c r="C187" s="22">
        <v>0.75</v>
      </c>
      <c r="D187" s="22">
        <v>0</v>
      </c>
      <c r="E187" s="10">
        <v>6</v>
      </c>
      <c r="F187" s="9"/>
      <c r="G187" s="9"/>
      <c r="H187" s="10"/>
      <c r="I187" s="9">
        <v>0.33333333333333331</v>
      </c>
      <c r="J187" s="9">
        <v>0.75</v>
      </c>
      <c r="K187" s="10">
        <v>10</v>
      </c>
      <c r="L187" s="9">
        <v>0.375</v>
      </c>
      <c r="M187" s="9">
        <v>0.75</v>
      </c>
      <c r="N187" s="10">
        <v>9</v>
      </c>
      <c r="O187" s="9">
        <v>0.33333333333333331</v>
      </c>
      <c r="P187" s="9">
        <v>0.66666666666666663</v>
      </c>
      <c r="Q187" s="10">
        <v>8</v>
      </c>
      <c r="R187" s="9">
        <v>0.33333333333333331</v>
      </c>
      <c r="S187" s="9">
        <v>0.75</v>
      </c>
      <c r="T187" s="10">
        <v>10</v>
      </c>
      <c r="U187" s="9">
        <v>0.375</v>
      </c>
      <c r="V187" s="9">
        <v>0.77083333333333337</v>
      </c>
      <c r="W187" s="10">
        <v>9.5</v>
      </c>
      <c r="X187" s="9">
        <v>0.375</v>
      </c>
      <c r="Y187" s="9">
        <v>0.66666666666666663</v>
      </c>
      <c r="Z187" s="10">
        <v>7</v>
      </c>
      <c r="AA187" s="9">
        <v>0.33333333333333331</v>
      </c>
      <c r="AB187" s="9">
        <v>0.72916666666666663</v>
      </c>
      <c r="AC187" s="10">
        <v>9.5</v>
      </c>
      <c r="AD187" s="9">
        <v>0.29166666666666669</v>
      </c>
      <c r="AE187" s="9">
        <v>0.59166666666666667</v>
      </c>
      <c r="AF187" s="94"/>
      <c r="AG187" s="4"/>
      <c r="AK187" s="109">
        <v>0.79166666666666663</v>
      </c>
      <c r="AL187" s="109">
        <v>0.59166666666666667</v>
      </c>
      <c r="AM187" s="109">
        <v>0.73333333333333328</v>
      </c>
      <c r="AN187" s="109">
        <v>0.73333333333333328</v>
      </c>
      <c r="AO187" s="109">
        <v>0.73333333333333328</v>
      </c>
    </row>
    <row r="188" spans="2:41" x14ac:dyDescent="0.25">
      <c r="B188" s="8">
        <v>46162</v>
      </c>
      <c r="C188" s="22">
        <v>0.75</v>
      </c>
      <c r="D188" s="22">
        <v>0</v>
      </c>
      <c r="E188" s="10">
        <v>6</v>
      </c>
      <c r="F188" s="9"/>
      <c r="G188" s="9"/>
      <c r="H188" s="10"/>
      <c r="I188" s="9">
        <v>0.33333333333333331</v>
      </c>
      <c r="J188" s="9">
        <v>0.75</v>
      </c>
      <c r="K188" s="10">
        <v>10</v>
      </c>
      <c r="L188" s="9">
        <v>0.33333333333333331</v>
      </c>
      <c r="M188" s="9">
        <v>0.75</v>
      </c>
      <c r="N188" s="10">
        <v>10</v>
      </c>
      <c r="O188" s="9">
        <v>0.33333333333333331</v>
      </c>
      <c r="P188" s="9">
        <v>0.66666666666666663</v>
      </c>
      <c r="Q188" s="10">
        <v>8</v>
      </c>
      <c r="R188" s="9">
        <v>0.375</v>
      </c>
      <c r="S188" s="35">
        <v>0.75</v>
      </c>
      <c r="T188" s="10">
        <v>9</v>
      </c>
      <c r="U188" s="9">
        <v>0.375</v>
      </c>
      <c r="V188" s="9">
        <v>0.75</v>
      </c>
      <c r="W188" s="10">
        <v>9</v>
      </c>
      <c r="X188" s="9">
        <v>0.33333333333333331</v>
      </c>
      <c r="Y188" s="9">
        <v>0.66666666666666663</v>
      </c>
      <c r="Z188" s="10">
        <v>8</v>
      </c>
      <c r="AA188" s="9">
        <v>0.33333333333333331</v>
      </c>
      <c r="AB188" s="9">
        <v>0.72916666666666663</v>
      </c>
      <c r="AC188" s="10">
        <v>9.5</v>
      </c>
      <c r="AD188" s="9">
        <v>0.33333333333333331</v>
      </c>
      <c r="AE188" s="9">
        <v>0.73333333333333328</v>
      </c>
      <c r="AF188" s="94"/>
      <c r="AG188" s="4"/>
      <c r="AK188" s="109">
        <f>AK187-AK186</f>
        <v>0.49999999999999994</v>
      </c>
      <c r="AL188" s="109">
        <f t="shared" ref="AL188" si="3">AL187-AL186</f>
        <v>0.3</v>
      </c>
      <c r="AM188" s="109">
        <f t="shared" ref="AM188" si="4">AM187-AM186</f>
        <v>0.39999999999999997</v>
      </c>
      <c r="AN188" s="109">
        <f t="shared" ref="AN188:AO188" si="5">AN187-AN186</f>
        <v>0.39999999999999997</v>
      </c>
      <c r="AO188" s="109">
        <f t="shared" si="5"/>
        <v>0.39999999999999997</v>
      </c>
    </row>
    <row r="189" spans="2:41" x14ac:dyDescent="0.25">
      <c r="B189" s="8">
        <v>46163</v>
      </c>
      <c r="C189" s="22">
        <v>0.75</v>
      </c>
      <c r="D189" s="22">
        <v>0</v>
      </c>
      <c r="E189" s="10">
        <v>6</v>
      </c>
      <c r="F189" s="9"/>
      <c r="G189" s="9"/>
      <c r="H189" s="10"/>
      <c r="I189" s="9">
        <v>0.375</v>
      </c>
      <c r="J189" s="9">
        <v>0.75</v>
      </c>
      <c r="K189" s="10">
        <v>9</v>
      </c>
      <c r="L189" s="9">
        <v>0.33333333333333331</v>
      </c>
      <c r="M189" s="9">
        <v>0.75</v>
      </c>
      <c r="N189" s="10">
        <v>10</v>
      </c>
      <c r="O189" s="9">
        <v>0.375</v>
      </c>
      <c r="P189" s="9">
        <v>0.66666666666666663</v>
      </c>
      <c r="Q189" s="10">
        <v>7</v>
      </c>
      <c r="R189" s="9">
        <v>0.375</v>
      </c>
      <c r="S189" s="35">
        <v>0.75</v>
      </c>
      <c r="T189" s="10">
        <v>9</v>
      </c>
      <c r="U189" s="9">
        <v>0.375</v>
      </c>
      <c r="V189" s="9">
        <v>0.77083333333333337</v>
      </c>
      <c r="W189" s="10">
        <v>9.5</v>
      </c>
      <c r="X189" s="9">
        <v>0.33333333333333331</v>
      </c>
      <c r="Y189" s="9">
        <v>0.66666666666666663</v>
      </c>
      <c r="Z189" s="10">
        <v>8</v>
      </c>
      <c r="AA189" s="9">
        <v>0.33333333333333331</v>
      </c>
      <c r="AB189" s="9">
        <v>0.75</v>
      </c>
      <c r="AC189" s="10">
        <v>10</v>
      </c>
      <c r="AD189" s="9">
        <v>0.33333333333333331</v>
      </c>
      <c r="AE189" s="9">
        <v>0.73333333333333328</v>
      </c>
      <c r="AF189" s="94"/>
      <c r="AG189" s="4"/>
    </row>
    <row r="190" spans="2:41" x14ac:dyDescent="0.25">
      <c r="B190" s="8">
        <v>46164</v>
      </c>
      <c r="C190" s="22">
        <v>0.75</v>
      </c>
      <c r="D190" s="22">
        <v>0</v>
      </c>
      <c r="E190" s="10">
        <v>6</v>
      </c>
      <c r="F190" s="9"/>
      <c r="G190" s="9"/>
      <c r="H190" s="10"/>
      <c r="I190" s="9">
        <v>0.375</v>
      </c>
      <c r="J190" s="9">
        <v>0.75</v>
      </c>
      <c r="K190" s="10">
        <v>9</v>
      </c>
      <c r="L190" s="9">
        <v>0.33333333333333331</v>
      </c>
      <c r="M190" s="9">
        <v>0.75</v>
      </c>
      <c r="N190" s="10">
        <v>10</v>
      </c>
      <c r="O190" s="9">
        <v>0.375</v>
      </c>
      <c r="P190" s="9">
        <v>0.66666666666666663</v>
      </c>
      <c r="Q190" s="10">
        <v>7</v>
      </c>
      <c r="R190" s="9">
        <v>0.33333333333333331</v>
      </c>
      <c r="S190" s="9">
        <v>0.75</v>
      </c>
      <c r="T190" s="10">
        <v>10</v>
      </c>
      <c r="U190" s="9">
        <v>0.375</v>
      </c>
      <c r="V190" s="9">
        <v>0.75</v>
      </c>
      <c r="W190" s="10">
        <v>9</v>
      </c>
      <c r="X190" s="9">
        <v>0.33333333333333331</v>
      </c>
      <c r="Y190" s="9">
        <v>0.66666666666666663</v>
      </c>
      <c r="Z190" s="10">
        <v>8</v>
      </c>
      <c r="AA190" s="9">
        <v>0.33333333333333331</v>
      </c>
      <c r="AB190" s="9">
        <v>0.72916666666666663</v>
      </c>
      <c r="AC190" s="10">
        <v>9.5</v>
      </c>
      <c r="AD190" s="9">
        <v>0.33333333333333331</v>
      </c>
      <c r="AE190" s="9">
        <v>0.73333333333333328</v>
      </c>
      <c r="AF190" s="94"/>
      <c r="AG190" s="4"/>
    </row>
    <row r="191" spans="2:41" x14ac:dyDescent="0.25">
      <c r="B191" s="8">
        <v>46165</v>
      </c>
      <c r="C191" s="22">
        <v>0.75</v>
      </c>
      <c r="D191" s="22">
        <v>0</v>
      </c>
      <c r="E191" s="10">
        <v>6</v>
      </c>
      <c r="F191" s="31"/>
      <c r="G191" s="31"/>
      <c r="H191" s="10"/>
      <c r="I191" s="7"/>
      <c r="J191" s="7"/>
      <c r="K191" s="7"/>
      <c r="L191" s="4"/>
      <c r="M191" s="4"/>
      <c r="N191" s="7"/>
      <c r="O191" s="31">
        <v>0.33333333333333331</v>
      </c>
      <c r="P191" s="31">
        <v>0.75</v>
      </c>
      <c r="Q191" s="10">
        <v>10</v>
      </c>
      <c r="R191" s="31"/>
      <c r="S191" s="31"/>
      <c r="T191" s="10"/>
      <c r="U191" s="7"/>
      <c r="V191" s="7"/>
      <c r="W191" s="7"/>
      <c r="X191" s="4"/>
      <c r="Y191" s="4"/>
      <c r="Z191" s="7"/>
      <c r="AA191" s="9"/>
      <c r="AB191" s="9"/>
      <c r="AC191" s="10"/>
      <c r="AD191" s="4"/>
      <c r="AE191" s="4"/>
      <c r="AF191" s="94"/>
      <c r="AG191" s="4"/>
    </row>
    <row r="192" spans="2:41" x14ac:dyDescent="0.25">
      <c r="B192" s="8">
        <v>46166</v>
      </c>
      <c r="C192" s="22"/>
      <c r="D192" s="22"/>
      <c r="E192" s="22"/>
      <c r="F192" s="4"/>
      <c r="G192" s="4"/>
      <c r="H192" s="7"/>
      <c r="I192" s="31"/>
      <c r="J192" s="31"/>
      <c r="K192" s="10"/>
      <c r="L192" s="31"/>
      <c r="M192" s="31"/>
      <c r="N192" s="10"/>
      <c r="O192" s="4"/>
      <c r="P192" s="4"/>
      <c r="Q192" s="7"/>
      <c r="R192" s="31"/>
      <c r="S192" s="31"/>
      <c r="T192" s="10"/>
      <c r="U192" s="11"/>
      <c r="V192" s="11"/>
      <c r="W192" s="10"/>
      <c r="X192" s="31">
        <v>0.33333333333333331</v>
      </c>
      <c r="Y192" s="31">
        <v>0.75</v>
      </c>
      <c r="Z192" s="10">
        <v>10</v>
      </c>
      <c r="AA192" s="4"/>
      <c r="AB192" s="4"/>
      <c r="AC192" s="7"/>
      <c r="AD192" s="4"/>
      <c r="AE192" s="4"/>
      <c r="AF192" s="94"/>
      <c r="AG192" s="4"/>
    </row>
    <row r="193" spans="2:33" x14ac:dyDescent="0.25">
      <c r="B193" s="4"/>
      <c r="C193" s="14"/>
      <c r="D193" s="14"/>
      <c r="E193" s="15">
        <v>36</v>
      </c>
      <c r="F193" s="4"/>
      <c r="G193" s="4"/>
      <c r="H193" s="15">
        <f>SUM(H186:H192)</f>
        <v>0</v>
      </c>
      <c r="I193" s="15"/>
      <c r="J193" s="15"/>
      <c r="K193" s="15">
        <f>SUM(K186:K192)</f>
        <v>48</v>
      </c>
      <c r="L193" s="4"/>
      <c r="M193" s="4"/>
      <c r="N193" s="15">
        <f>SUM(N186:N192)</f>
        <v>48</v>
      </c>
      <c r="O193" s="4"/>
      <c r="P193" s="4"/>
      <c r="Q193" s="15">
        <f>SUM(Q186:Q192)</f>
        <v>48</v>
      </c>
      <c r="R193" s="4"/>
      <c r="S193" s="4"/>
      <c r="T193" s="15">
        <f>SUM(T186:T192)</f>
        <v>48</v>
      </c>
      <c r="U193" s="7"/>
      <c r="V193" s="7"/>
      <c r="W193" s="15">
        <f>SUM(W186:W192)</f>
        <v>46.5</v>
      </c>
      <c r="X193" s="4"/>
      <c r="Y193" s="4"/>
      <c r="Z193" s="15">
        <f>SUM(Z186:Z192)</f>
        <v>48</v>
      </c>
      <c r="AA193" s="4"/>
      <c r="AB193" s="4"/>
      <c r="AC193" s="17">
        <f>SUM(AC186:AC192)</f>
        <v>48</v>
      </c>
      <c r="AD193" s="4"/>
      <c r="AE193" s="4"/>
      <c r="AF193" s="40"/>
      <c r="AG193" s="89">
        <v>0</v>
      </c>
    </row>
    <row r="195" spans="2:33" x14ac:dyDescent="0.25">
      <c r="B195" s="8">
        <v>46167</v>
      </c>
      <c r="C195" s="22">
        <v>0.75</v>
      </c>
      <c r="D195" s="22">
        <v>0</v>
      </c>
      <c r="E195" s="10">
        <v>6</v>
      </c>
      <c r="F195" s="9"/>
      <c r="G195" s="9"/>
      <c r="H195" s="10"/>
      <c r="I195" s="9">
        <v>0.33333333333333331</v>
      </c>
      <c r="J195" s="9">
        <v>0.66666666666666663</v>
      </c>
      <c r="K195" s="10">
        <v>8</v>
      </c>
      <c r="L195" s="9">
        <v>0.33333333333333331</v>
      </c>
      <c r="M195" s="9">
        <v>0.66666666666666663</v>
      </c>
      <c r="N195" s="10">
        <v>8</v>
      </c>
      <c r="O195" s="9">
        <v>0.375</v>
      </c>
      <c r="P195" s="9">
        <v>0.75</v>
      </c>
      <c r="Q195" s="10">
        <v>9</v>
      </c>
      <c r="R195" s="9">
        <v>0.375</v>
      </c>
      <c r="S195" s="35">
        <v>0.75</v>
      </c>
      <c r="T195" s="10">
        <v>9</v>
      </c>
      <c r="U195" s="9">
        <v>0.375</v>
      </c>
      <c r="V195" s="9">
        <v>0.72916666666666663</v>
      </c>
      <c r="W195" s="10">
        <v>8.5</v>
      </c>
      <c r="X195" s="9">
        <v>0.33333333333333331</v>
      </c>
      <c r="Y195" s="9">
        <v>0.75</v>
      </c>
      <c r="Z195" s="10">
        <v>10</v>
      </c>
      <c r="AA195" s="9">
        <v>0.33333333333333331</v>
      </c>
      <c r="AB195" s="9">
        <v>0.75</v>
      </c>
      <c r="AC195" s="10">
        <v>10</v>
      </c>
      <c r="AD195" s="9">
        <v>0.33333333333333331</v>
      </c>
      <c r="AE195" s="9">
        <v>0.73333333333333328</v>
      </c>
      <c r="AF195" s="94"/>
      <c r="AG195" s="4"/>
    </row>
    <row r="196" spans="2:33" x14ac:dyDescent="0.25">
      <c r="B196" s="8">
        <v>46168</v>
      </c>
      <c r="C196" s="22">
        <v>0.75</v>
      </c>
      <c r="D196" s="22">
        <v>0</v>
      </c>
      <c r="E196" s="10">
        <v>6</v>
      </c>
      <c r="F196" s="9"/>
      <c r="G196" s="9"/>
      <c r="H196" s="10"/>
      <c r="I196" s="9">
        <v>0.33333333333333331</v>
      </c>
      <c r="J196" s="9">
        <v>0.66666666666666663</v>
      </c>
      <c r="K196" s="10">
        <v>8</v>
      </c>
      <c r="L196" s="9">
        <v>0.33333333333333331</v>
      </c>
      <c r="M196" s="9">
        <v>0.66666666666666663</v>
      </c>
      <c r="N196" s="10">
        <v>8</v>
      </c>
      <c r="O196" s="9">
        <v>0.375</v>
      </c>
      <c r="P196" s="9">
        <v>0.75</v>
      </c>
      <c r="Q196" s="10">
        <v>9</v>
      </c>
      <c r="R196" s="9">
        <v>0.375</v>
      </c>
      <c r="S196" s="35">
        <v>0.75</v>
      </c>
      <c r="T196" s="10">
        <v>9</v>
      </c>
      <c r="U196" s="9">
        <v>0.375</v>
      </c>
      <c r="V196" s="9">
        <v>0.72916666666666663</v>
      </c>
      <c r="W196" s="10">
        <v>8.5</v>
      </c>
      <c r="X196" s="9">
        <v>0.33333333333333331</v>
      </c>
      <c r="Y196" s="9">
        <v>0.75</v>
      </c>
      <c r="Z196" s="10">
        <v>10</v>
      </c>
      <c r="AA196" s="9">
        <v>0.33333333333333331</v>
      </c>
      <c r="AB196" s="9">
        <v>0.72916666666666663</v>
      </c>
      <c r="AC196" s="10">
        <v>9.5</v>
      </c>
      <c r="AD196" s="9">
        <v>0.33333333333333331</v>
      </c>
      <c r="AE196" s="9">
        <v>0.73333333333333328</v>
      </c>
      <c r="AF196" s="94"/>
      <c r="AG196" s="4"/>
    </row>
    <row r="197" spans="2:33" x14ac:dyDescent="0.25">
      <c r="B197" s="8">
        <v>46169</v>
      </c>
      <c r="C197" s="22">
        <v>0.75</v>
      </c>
      <c r="D197" s="22">
        <v>0</v>
      </c>
      <c r="E197" s="10">
        <v>6</v>
      </c>
      <c r="F197" s="9"/>
      <c r="G197" s="9"/>
      <c r="H197" s="10"/>
      <c r="I197" s="9">
        <v>0.33333333333333331</v>
      </c>
      <c r="J197" s="9">
        <v>0.66666666666666663</v>
      </c>
      <c r="K197" s="10">
        <v>8</v>
      </c>
      <c r="L197" s="9">
        <v>0.375</v>
      </c>
      <c r="M197" s="9">
        <v>0.66666666666666663</v>
      </c>
      <c r="N197" s="10">
        <v>7</v>
      </c>
      <c r="O197" s="9">
        <v>0.33333333333333331</v>
      </c>
      <c r="P197" s="9">
        <v>0.75</v>
      </c>
      <c r="Q197" s="10">
        <v>10</v>
      </c>
      <c r="R197" s="9">
        <v>0.33333333333333331</v>
      </c>
      <c r="S197" s="9">
        <v>0.75</v>
      </c>
      <c r="T197" s="10">
        <v>10</v>
      </c>
      <c r="U197" s="9">
        <v>0.375</v>
      </c>
      <c r="V197" s="9">
        <v>0.70833333333333337</v>
      </c>
      <c r="W197" s="10">
        <v>8</v>
      </c>
      <c r="X197" s="9">
        <v>0.33333333333333331</v>
      </c>
      <c r="Y197" s="9">
        <v>0.75</v>
      </c>
      <c r="Z197" s="10">
        <v>10</v>
      </c>
      <c r="AA197" s="9">
        <v>0.33333333333333331</v>
      </c>
      <c r="AB197" s="9">
        <v>0.72916666666666663</v>
      </c>
      <c r="AC197" s="10">
        <v>9.5</v>
      </c>
      <c r="AD197" s="9">
        <v>0.33333333333333331</v>
      </c>
      <c r="AE197" s="9">
        <v>0.73333333333333328</v>
      </c>
      <c r="AF197" s="94"/>
      <c r="AG197" s="4"/>
    </row>
    <row r="198" spans="2:33" x14ac:dyDescent="0.25">
      <c r="B198" s="8">
        <v>46170</v>
      </c>
      <c r="C198" s="22">
        <v>0.75</v>
      </c>
      <c r="D198" s="22">
        <v>0</v>
      </c>
      <c r="E198" s="10">
        <v>6</v>
      </c>
      <c r="F198" s="9"/>
      <c r="G198" s="9"/>
      <c r="H198" s="10"/>
      <c r="I198" s="9">
        <v>0.375</v>
      </c>
      <c r="J198" s="9">
        <v>0.66666666666666663</v>
      </c>
      <c r="K198" s="10">
        <v>7</v>
      </c>
      <c r="L198" s="9">
        <v>0.33333333333333331</v>
      </c>
      <c r="M198" s="9">
        <v>0.66666666666666663</v>
      </c>
      <c r="N198" s="10">
        <v>8</v>
      </c>
      <c r="O198" s="9">
        <v>0.33333333333333331</v>
      </c>
      <c r="P198" s="9">
        <v>0.75</v>
      </c>
      <c r="Q198" s="10">
        <v>10</v>
      </c>
      <c r="R198" s="9">
        <v>0.33333333333333331</v>
      </c>
      <c r="S198" s="35">
        <v>0.75</v>
      </c>
      <c r="T198" s="10">
        <v>10</v>
      </c>
      <c r="U198" s="9">
        <v>0.375</v>
      </c>
      <c r="V198" s="9">
        <v>0.70833333333333337</v>
      </c>
      <c r="W198" s="10">
        <v>8</v>
      </c>
      <c r="X198" s="107">
        <v>0.375</v>
      </c>
      <c r="Y198" s="107">
        <v>0.75</v>
      </c>
      <c r="Z198" s="108">
        <v>9</v>
      </c>
      <c r="AA198" s="9">
        <v>0.33333333333333331</v>
      </c>
      <c r="AB198" s="9">
        <v>0.72916666666666663</v>
      </c>
      <c r="AC198" s="10">
        <v>9.5</v>
      </c>
      <c r="AD198" s="9">
        <v>0.33333333333333331</v>
      </c>
      <c r="AE198" s="9">
        <v>0.73333333333333328</v>
      </c>
      <c r="AF198" s="94"/>
      <c r="AG198" s="4"/>
    </row>
    <row r="199" spans="2:33" x14ac:dyDescent="0.25">
      <c r="B199" s="8">
        <v>46171</v>
      </c>
      <c r="C199" s="22">
        <v>0.75</v>
      </c>
      <c r="D199" s="22">
        <v>0</v>
      </c>
      <c r="E199" s="10">
        <v>6</v>
      </c>
      <c r="F199" s="9"/>
      <c r="G199" s="9"/>
      <c r="H199" s="10"/>
      <c r="I199" s="9">
        <v>0.375</v>
      </c>
      <c r="J199" s="9">
        <v>0.66666666666666663</v>
      </c>
      <c r="K199" s="10">
        <v>7</v>
      </c>
      <c r="L199" s="9">
        <v>0.375</v>
      </c>
      <c r="M199" s="9">
        <v>0.66666666666666663</v>
      </c>
      <c r="N199" s="10">
        <v>7</v>
      </c>
      <c r="O199" s="9">
        <v>0.33333333333333331</v>
      </c>
      <c r="P199" s="9">
        <v>0.75</v>
      </c>
      <c r="Q199" s="10">
        <v>10</v>
      </c>
      <c r="R199" s="9">
        <v>0.33333333333333331</v>
      </c>
      <c r="S199" s="35">
        <v>0.75</v>
      </c>
      <c r="T199" s="10">
        <v>10</v>
      </c>
      <c r="U199" s="9">
        <v>0.375</v>
      </c>
      <c r="V199" s="9">
        <v>0.72916666666666663</v>
      </c>
      <c r="W199" s="10">
        <v>8.5</v>
      </c>
      <c r="X199" s="107">
        <v>0.375</v>
      </c>
      <c r="Y199" s="107">
        <v>0.75</v>
      </c>
      <c r="Z199" s="108">
        <v>9</v>
      </c>
      <c r="AA199" s="9">
        <v>0.33333333333333331</v>
      </c>
      <c r="AB199" s="9">
        <v>0.72916666666666663</v>
      </c>
      <c r="AC199" s="10">
        <v>9.5</v>
      </c>
      <c r="AD199" s="9">
        <v>0.33333333333333331</v>
      </c>
      <c r="AE199" s="9">
        <v>0.73333333333333328</v>
      </c>
      <c r="AF199" s="94"/>
      <c r="AG199" s="4"/>
    </row>
    <row r="200" spans="2:33" x14ac:dyDescent="0.25">
      <c r="B200" s="8">
        <v>46172</v>
      </c>
      <c r="C200" s="22">
        <v>0.75</v>
      </c>
      <c r="D200" s="22">
        <v>0</v>
      </c>
      <c r="E200" s="10">
        <v>6</v>
      </c>
      <c r="F200" s="31"/>
      <c r="G200" s="31"/>
      <c r="H200" s="10"/>
      <c r="I200" s="31">
        <v>0.33333333333333331</v>
      </c>
      <c r="J200" s="31">
        <v>0.75</v>
      </c>
      <c r="K200" s="10">
        <v>10</v>
      </c>
      <c r="L200" s="4"/>
      <c r="M200" s="4"/>
      <c r="N200" s="7"/>
      <c r="O200" s="31"/>
      <c r="P200" s="31"/>
      <c r="Q200" s="10"/>
      <c r="R200" s="31"/>
      <c r="S200" s="31"/>
      <c r="T200" s="10"/>
      <c r="U200" s="11">
        <v>0.375</v>
      </c>
      <c r="V200" s="11">
        <v>0.58333333333333337</v>
      </c>
      <c r="W200" s="10">
        <v>5</v>
      </c>
      <c r="X200" s="4"/>
      <c r="Y200" s="4"/>
      <c r="Z200" s="7"/>
      <c r="AA200" s="9"/>
      <c r="AB200" s="9"/>
      <c r="AC200" s="10"/>
      <c r="AD200" s="4"/>
      <c r="AE200" s="4"/>
      <c r="AF200" s="94"/>
      <c r="AG200" s="4"/>
    </row>
    <row r="201" spans="2:33" x14ac:dyDescent="0.25">
      <c r="B201" s="8">
        <v>46173</v>
      </c>
      <c r="C201" s="22"/>
      <c r="D201" s="22"/>
      <c r="E201" s="22"/>
      <c r="F201" s="4"/>
      <c r="G201" s="4"/>
      <c r="H201" s="7"/>
      <c r="I201" s="31"/>
      <c r="J201" s="31"/>
      <c r="K201" s="10"/>
      <c r="L201" s="31">
        <v>0.33333333333333331</v>
      </c>
      <c r="M201" s="31">
        <v>0.75</v>
      </c>
      <c r="N201" s="10">
        <v>10</v>
      </c>
      <c r="O201" s="4"/>
      <c r="P201" s="4"/>
      <c r="Q201" s="7"/>
      <c r="R201" s="31"/>
      <c r="S201" s="31"/>
      <c r="T201" s="10"/>
      <c r="U201" s="11"/>
      <c r="V201" s="11"/>
      <c r="W201" s="10"/>
      <c r="X201" s="31"/>
      <c r="Y201" s="31"/>
      <c r="Z201" s="10"/>
      <c r="AA201" s="4"/>
      <c r="AB201" s="4"/>
      <c r="AC201" s="7"/>
      <c r="AD201" s="4"/>
      <c r="AE201" s="4"/>
      <c r="AF201" s="94"/>
      <c r="AG201" s="4"/>
    </row>
    <row r="202" spans="2:33" x14ac:dyDescent="0.25">
      <c r="B202" s="4"/>
      <c r="C202" s="14"/>
      <c r="D202" s="14"/>
      <c r="E202" s="15">
        <v>36</v>
      </c>
      <c r="F202" s="4"/>
      <c r="G202" s="4"/>
      <c r="H202" s="15">
        <f>SUM(H195:H201)</f>
        <v>0</v>
      </c>
      <c r="I202" s="15"/>
      <c r="J202" s="15"/>
      <c r="K202" s="15">
        <f>SUM(K195:K201)</f>
        <v>48</v>
      </c>
      <c r="L202" s="4"/>
      <c r="M202" s="4"/>
      <c r="N202" s="15">
        <f>SUM(N195:N201)</f>
        <v>48</v>
      </c>
      <c r="O202" s="4"/>
      <c r="P202" s="4"/>
      <c r="Q202" s="15">
        <f>SUM(Q195:Q201)</f>
        <v>48</v>
      </c>
      <c r="R202" s="4"/>
      <c r="S202" s="4"/>
      <c r="T202" s="15">
        <f>SUM(T195:T201)</f>
        <v>48</v>
      </c>
      <c r="U202" s="7"/>
      <c r="V202" s="7"/>
      <c r="W202" s="15">
        <f>SUM(W195:W201)</f>
        <v>46.5</v>
      </c>
      <c r="X202" s="4"/>
      <c r="Y202" s="4"/>
      <c r="Z202" s="15">
        <f>SUM(Z195:Z201)</f>
        <v>48</v>
      </c>
      <c r="AA202" s="4"/>
      <c r="AB202" s="4"/>
      <c r="AC202" s="17">
        <f>SUM(AC195:AC201)</f>
        <v>48</v>
      </c>
      <c r="AD202" s="4"/>
      <c r="AE202" s="4"/>
      <c r="AF202" s="40"/>
      <c r="AG202" s="89">
        <v>0</v>
      </c>
    </row>
    <row r="205" spans="2:33" ht="16.5" customHeight="1" x14ac:dyDescent="0.25">
      <c r="B205" s="4" t="s">
        <v>0</v>
      </c>
      <c r="C205" s="113" t="s">
        <v>3</v>
      </c>
      <c r="D205" s="113"/>
      <c r="E205" s="5"/>
      <c r="F205" s="113" t="s">
        <v>8</v>
      </c>
      <c r="G205" s="113"/>
      <c r="H205" s="6"/>
      <c r="I205" s="115" t="s">
        <v>74</v>
      </c>
      <c r="J205" s="115"/>
      <c r="K205" s="98"/>
      <c r="L205" s="113" t="s">
        <v>7</v>
      </c>
      <c r="M205" s="113"/>
      <c r="N205" s="6"/>
      <c r="O205" s="113" t="s">
        <v>2</v>
      </c>
      <c r="P205" s="113"/>
      <c r="Q205" s="6"/>
      <c r="R205" s="113" t="s">
        <v>4</v>
      </c>
      <c r="S205" s="113"/>
      <c r="T205" s="6"/>
      <c r="U205" s="114" t="s">
        <v>63</v>
      </c>
      <c r="V205" s="114"/>
      <c r="W205" s="6"/>
      <c r="X205" s="113" t="s">
        <v>44</v>
      </c>
      <c r="Y205" s="113"/>
      <c r="Z205" s="6"/>
      <c r="AA205" s="113" t="s">
        <v>10</v>
      </c>
      <c r="AB205" s="113"/>
      <c r="AC205" s="7"/>
      <c r="AD205" s="113" t="s">
        <v>6</v>
      </c>
      <c r="AE205" s="113"/>
      <c r="AF205" s="37"/>
    </row>
    <row r="206" spans="2:33" x14ac:dyDescent="0.25">
      <c r="B206" s="8">
        <v>46174</v>
      </c>
      <c r="C206" s="22">
        <v>0.75</v>
      </c>
      <c r="D206" s="22">
        <v>0</v>
      </c>
      <c r="E206" s="10">
        <v>6</v>
      </c>
      <c r="X206" s="9">
        <v>0.33333333333333331</v>
      </c>
      <c r="Y206" s="9">
        <v>0.77083333333333337</v>
      </c>
      <c r="Z206" s="10">
        <v>10.5</v>
      </c>
      <c r="AA206" s="9">
        <v>0.33333333333333331</v>
      </c>
      <c r="AB206" s="9">
        <v>0.72916666666666663</v>
      </c>
      <c r="AC206" s="10">
        <v>9.5</v>
      </c>
    </row>
    <row r="207" spans="2:33" x14ac:dyDescent="0.25">
      <c r="B207" s="8">
        <v>46175</v>
      </c>
      <c r="C207" s="22">
        <v>0.75</v>
      </c>
      <c r="D207" s="22">
        <v>0</v>
      </c>
      <c r="E207" s="10">
        <v>6</v>
      </c>
      <c r="X207" s="9">
        <v>0.33333333333333331</v>
      </c>
      <c r="Y207" s="9">
        <v>0.77083333333333337</v>
      </c>
      <c r="Z207" s="10">
        <v>10.5</v>
      </c>
      <c r="AA207" s="9">
        <v>0.33333333333333331</v>
      </c>
      <c r="AB207" s="9">
        <v>0.72916666666666663</v>
      </c>
      <c r="AC207" s="10">
        <v>9.5</v>
      </c>
    </row>
    <row r="208" spans="2:33" x14ac:dyDescent="0.25">
      <c r="B208" s="8">
        <v>46176</v>
      </c>
      <c r="C208" s="22">
        <v>0.75</v>
      </c>
      <c r="D208" s="22">
        <v>0</v>
      </c>
      <c r="E208" s="10">
        <v>6</v>
      </c>
      <c r="X208" s="9">
        <v>0.33333333333333331</v>
      </c>
      <c r="Y208" s="9">
        <v>0.6875</v>
      </c>
      <c r="Z208" s="10">
        <v>8.5</v>
      </c>
      <c r="AA208" s="9">
        <v>0.33333333333333331</v>
      </c>
      <c r="AB208" s="9">
        <v>0.75</v>
      </c>
      <c r="AC208" s="10">
        <v>10</v>
      </c>
    </row>
    <row r="209" spans="2:29" x14ac:dyDescent="0.25">
      <c r="B209" s="8">
        <v>46177</v>
      </c>
      <c r="C209" s="22">
        <v>0.75</v>
      </c>
      <c r="D209" s="22">
        <v>0</v>
      </c>
      <c r="E209" s="10">
        <v>6</v>
      </c>
      <c r="X209" s="9">
        <v>0.33333333333333331</v>
      </c>
      <c r="Y209" s="9">
        <v>0.77083333333333337</v>
      </c>
      <c r="Z209" s="10">
        <v>10.5</v>
      </c>
      <c r="AA209" s="9">
        <v>0.33333333333333331</v>
      </c>
      <c r="AB209" s="9">
        <v>0.72916666666666663</v>
      </c>
      <c r="AC209" s="10">
        <v>9.5</v>
      </c>
    </row>
    <row r="210" spans="2:29" x14ac:dyDescent="0.25">
      <c r="B210" s="8">
        <v>46178</v>
      </c>
      <c r="C210" s="123">
        <v>0.66666666666666663</v>
      </c>
      <c r="D210" s="22">
        <v>0</v>
      </c>
      <c r="E210" s="124">
        <v>6</v>
      </c>
      <c r="X210" s="9">
        <v>0.33333333333333331</v>
      </c>
      <c r="Y210" s="9">
        <v>0.66666666666666663</v>
      </c>
      <c r="Z210" s="10">
        <v>8</v>
      </c>
      <c r="AA210" s="9">
        <v>0.33333333333333331</v>
      </c>
      <c r="AB210" s="9">
        <v>0.72916666666666663</v>
      </c>
      <c r="AC210" s="10">
        <v>9.5</v>
      </c>
    </row>
    <row r="211" spans="2:29" x14ac:dyDescent="0.25">
      <c r="B211" s="8">
        <v>46179</v>
      </c>
      <c r="C211" s="22">
        <v>0.75</v>
      </c>
      <c r="D211" s="22">
        <v>0</v>
      </c>
      <c r="E211" s="10">
        <v>6</v>
      </c>
      <c r="X211" s="4"/>
      <c r="Y211" s="4"/>
      <c r="Z211" s="7"/>
      <c r="AA211" s="9"/>
      <c r="AB211" s="9"/>
      <c r="AC211" s="10"/>
    </row>
    <row r="212" spans="2:29" x14ac:dyDescent="0.25">
      <c r="B212" s="8">
        <v>46180</v>
      </c>
      <c r="C212" s="22"/>
      <c r="D212" s="22"/>
      <c r="E212" s="22"/>
      <c r="X212" s="31"/>
      <c r="Y212" s="31"/>
      <c r="Z212" s="10"/>
      <c r="AA212" s="4"/>
      <c r="AB212" s="4"/>
      <c r="AC212" s="7"/>
    </row>
    <row r="213" spans="2:29" x14ac:dyDescent="0.25">
      <c r="B213" s="4"/>
      <c r="C213" s="14"/>
      <c r="D213" s="14"/>
      <c r="E213" s="15">
        <v>36</v>
      </c>
      <c r="X213" s="4"/>
      <c r="Y213" s="4"/>
      <c r="Z213" s="15">
        <f>SUM(Z206:Z212)</f>
        <v>48</v>
      </c>
      <c r="AA213" s="4"/>
      <c r="AB213" s="4"/>
      <c r="AC213" s="17">
        <f>SUM(AC206:AC212)</f>
        <v>48</v>
      </c>
    </row>
    <row r="215" spans="2:29" x14ac:dyDescent="0.25">
      <c r="B215" s="8">
        <v>46181</v>
      </c>
      <c r="C215" s="22">
        <v>0.75</v>
      </c>
      <c r="D215" s="22">
        <v>0</v>
      </c>
      <c r="E215" s="10">
        <v>6</v>
      </c>
    </row>
    <row r="216" spans="2:29" x14ac:dyDescent="0.25">
      <c r="B216" s="8">
        <v>46182</v>
      </c>
      <c r="C216" s="22">
        <v>0.75</v>
      </c>
      <c r="D216" s="22">
        <v>0</v>
      </c>
      <c r="E216" s="10">
        <v>6</v>
      </c>
    </row>
    <row r="217" spans="2:29" x14ac:dyDescent="0.25">
      <c r="B217" s="8">
        <v>46183</v>
      </c>
      <c r="C217" s="22">
        <v>0.75</v>
      </c>
      <c r="D217" s="22">
        <v>0</v>
      </c>
      <c r="E217" s="10">
        <v>6</v>
      </c>
    </row>
    <row r="218" spans="2:29" x14ac:dyDescent="0.25">
      <c r="B218" s="8">
        <v>46184</v>
      </c>
      <c r="C218" s="22">
        <v>0.75</v>
      </c>
      <c r="D218" s="22">
        <v>0</v>
      </c>
      <c r="E218" s="10">
        <v>6</v>
      </c>
    </row>
    <row r="219" spans="2:29" x14ac:dyDescent="0.25">
      <c r="B219" s="8">
        <v>46185</v>
      </c>
      <c r="C219" s="123">
        <v>0.66666666666666663</v>
      </c>
      <c r="D219" s="22">
        <v>0</v>
      </c>
      <c r="E219" s="124">
        <v>6</v>
      </c>
    </row>
    <row r="220" spans="2:29" x14ac:dyDescent="0.25">
      <c r="B220" s="8">
        <v>46186</v>
      </c>
      <c r="C220" s="22">
        <v>0.75</v>
      </c>
      <c r="D220" s="22">
        <v>0</v>
      </c>
      <c r="E220" s="10">
        <v>6</v>
      </c>
    </row>
    <row r="221" spans="2:29" x14ac:dyDescent="0.25">
      <c r="B221" s="8">
        <v>46187</v>
      </c>
      <c r="C221" s="22"/>
      <c r="D221" s="22"/>
      <c r="E221" s="22"/>
    </row>
    <row r="222" spans="2:29" x14ac:dyDescent="0.25">
      <c r="B222" s="4"/>
      <c r="C222" s="14"/>
      <c r="D222" s="14"/>
      <c r="E222" s="15">
        <v>36</v>
      </c>
    </row>
    <row r="224" spans="2:29" x14ac:dyDescent="0.25">
      <c r="B224" s="8">
        <v>46188</v>
      </c>
      <c r="C224" s="22">
        <v>0.75</v>
      </c>
      <c r="D224" s="22">
        <v>0</v>
      </c>
      <c r="E224" s="10">
        <v>6</v>
      </c>
    </row>
    <row r="225" spans="2:5" x14ac:dyDescent="0.25">
      <c r="B225" s="8">
        <v>46189</v>
      </c>
      <c r="C225" s="22">
        <v>0.75</v>
      </c>
      <c r="D225" s="22">
        <v>0</v>
      </c>
      <c r="E225" s="10">
        <v>6</v>
      </c>
    </row>
    <row r="226" spans="2:5" x14ac:dyDescent="0.25">
      <c r="B226" s="8">
        <v>46190</v>
      </c>
      <c r="C226" s="22">
        <v>0.75</v>
      </c>
      <c r="D226" s="22">
        <v>0</v>
      </c>
      <c r="E226" s="10">
        <v>6</v>
      </c>
    </row>
    <row r="227" spans="2:5" x14ac:dyDescent="0.25">
      <c r="B227" s="8">
        <v>46191</v>
      </c>
      <c r="C227" s="22">
        <v>0.75</v>
      </c>
      <c r="D227" s="22">
        <v>0</v>
      </c>
      <c r="E227" s="10">
        <v>6</v>
      </c>
    </row>
    <row r="228" spans="2:5" x14ac:dyDescent="0.25">
      <c r="B228" s="8">
        <v>46192</v>
      </c>
      <c r="C228" s="123">
        <v>0.66666666666666663</v>
      </c>
      <c r="D228" s="22">
        <v>0</v>
      </c>
      <c r="E228" s="124">
        <v>6</v>
      </c>
    </row>
    <row r="229" spans="2:5" x14ac:dyDescent="0.25">
      <c r="B229" s="8">
        <v>46193</v>
      </c>
      <c r="C229" s="22">
        <v>0.75</v>
      </c>
      <c r="D229" s="22">
        <v>0</v>
      </c>
      <c r="E229" s="10">
        <v>6</v>
      </c>
    </row>
    <row r="230" spans="2:5" x14ac:dyDescent="0.25">
      <c r="B230" s="8">
        <v>46194</v>
      </c>
      <c r="C230" s="22"/>
      <c r="D230" s="22"/>
      <c r="E230" s="22"/>
    </row>
    <row r="231" spans="2:5" x14ac:dyDescent="0.25">
      <c r="B231" s="4"/>
      <c r="C231" s="14"/>
      <c r="D231" s="14"/>
      <c r="E231" s="15">
        <v>36</v>
      </c>
    </row>
    <row r="233" spans="2:5" x14ac:dyDescent="0.25">
      <c r="B233" s="8">
        <v>46195</v>
      </c>
      <c r="C233" s="22">
        <v>0.75</v>
      </c>
      <c r="D233" s="22">
        <v>0</v>
      </c>
      <c r="E233" s="10">
        <v>6</v>
      </c>
    </row>
    <row r="234" spans="2:5" x14ac:dyDescent="0.25">
      <c r="B234" s="8">
        <v>46196</v>
      </c>
      <c r="C234" s="22">
        <v>0.75</v>
      </c>
      <c r="D234" s="22">
        <v>0</v>
      </c>
      <c r="E234" s="10">
        <v>6</v>
      </c>
    </row>
    <row r="235" spans="2:5" x14ac:dyDescent="0.25">
      <c r="B235" s="8">
        <v>46197</v>
      </c>
      <c r="C235" s="22">
        <v>0.75</v>
      </c>
      <c r="D235" s="22">
        <v>0</v>
      </c>
      <c r="E235" s="10">
        <v>6</v>
      </c>
    </row>
    <row r="236" spans="2:5" x14ac:dyDescent="0.25">
      <c r="B236" s="8">
        <v>46198</v>
      </c>
      <c r="C236" s="22">
        <v>0.75</v>
      </c>
      <c r="D236" s="22">
        <v>0</v>
      </c>
      <c r="E236" s="10">
        <v>6</v>
      </c>
    </row>
    <row r="237" spans="2:5" x14ac:dyDescent="0.25">
      <c r="B237" s="8">
        <v>46199</v>
      </c>
      <c r="C237" s="123">
        <v>0.66666666666666663</v>
      </c>
      <c r="D237" s="22">
        <v>0</v>
      </c>
      <c r="E237" s="124">
        <v>6</v>
      </c>
    </row>
    <row r="238" spans="2:5" x14ac:dyDescent="0.25">
      <c r="B238" s="8">
        <v>46200</v>
      </c>
      <c r="C238" s="22">
        <v>0.75</v>
      </c>
      <c r="D238" s="22">
        <v>0</v>
      </c>
      <c r="E238" s="10">
        <v>6</v>
      </c>
    </row>
    <row r="239" spans="2:5" x14ac:dyDescent="0.25">
      <c r="B239" s="8">
        <v>46201</v>
      </c>
      <c r="C239" s="22"/>
      <c r="D239" s="22"/>
      <c r="E239" s="22"/>
    </row>
    <row r="240" spans="2:5" x14ac:dyDescent="0.25">
      <c r="B240" s="4"/>
      <c r="C240" s="14"/>
      <c r="D240" s="14"/>
      <c r="E240" s="15">
        <v>36</v>
      </c>
    </row>
    <row r="242" spans="2:5" x14ac:dyDescent="0.25">
      <c r="B242" s="8">
        <v>46202</v>
      </c>
      <c r="C242" s="22">
        <v>0.75</v>
      </c>
      <c r="D242" s="22">
        <v>0</v>
      </c>
      <c r="E242" s="10">
        <v>6</v>
      </c>
    </row>
    <row r="243" spans="2:5" x14ac:dyDescent="0.25">
      <c r="B243" s="8">
        <v>46203</v>
      </c>
      <c r="C243" s="22">
        <v>0.75</v>
      </c>
      <c r="D243" s="22">
        <v>0</v>
      </c>
      <c r="E243" s="10">
        <v>6</v>
      </c>
    </row>
    <row r="244" spans="2:5" x14ac:dyDescent="0.25">
      <c r="B244" s="4"/>
      <c r="C244" s="14"/>
      <c r="D244" s="14"/>
      <c r="E244" s="15">
        <v>36</v>
      </c>
    </row>
  </sheetData>
  <mergeCells count="28">
    <mergeCell ref="R205:S205"/>
    <mergeCell ref="U205:V205"/>
    <mergeCell ref="X205:Y205"/>
    <mergeCell ref="AA205:AB205"/>
    <mergeCell ref="AD205:AE205"/>
    <mergeCell ref="C205:D205"/>
    <mergeCell ref="F205:G205"/>
    <mergeCell ref="I205:J205"/>
    <mergeCell ref="L205:M205"/>
    <mergeCell ref="O205:P205"/>
    <mergeCell ref="C45:D45"/>
    <mergeCell ref="R45:S45"/>
    <mergeCell ref="F45:G45"/>
    <mergeCell ref="O1:P1"/>
    <mergeCell ref="C1:D1"/>
    <mergeCell ref="R1:S1"/>
    <mergeCell ref="F1:G1"/>
    <mergeCell ref="I45:J45"/>
    <mergeCell ref="X1:Y1"/>
    <mergeCell ref="AA1:AB1"/>
    <mergeCell ref="AD1:AE1"/>
    <mergeCell ref="L1:M1"/>
    <mergeCell ref="AD45:AE45"/>
    <mergeCell ref="L45:M45"/>
    <mergeCell ref="X45:Y45"/>
    <mergeCell ref="AA45:AB45"/>
    <mergeCell ref="U45:V45"/>
    <mergeCell ref="O45:P45"/>
  </mergeCells>
  <conditionalFormatting sqref="C46:D51 F51:G52 L51:M52 R51:S52 X51:Y52 AA51:AB52 AD51:AF52 C52:E52 O52:P52 C55:D60 AF60 F60:G61 R60:S61 X60:Y61 AA60:AB61 C61:E61 L61:M61 O61:P61 AD61:AF61 C64:D69 O69:P69 C70:E70 X70:Y70 C73:D78 R78:S78 C79:E79 C82:D87 O87:P87 C88:E88 X88:Y88 C91:D96 L96:M96 O96:P96 X97:Y97 C100:D105 O105:P105 C106:E106 C109:D114 C115:E115 L115:M115 X115:Y115 C118:D123 O123:P123 C124:E124 C127:D132 C133:E133 L133:M133 X133:Y133 L141:M141 L149:M149 L157:M157 L165:M165">
    <cfRule type="expression" dxfId="728" priority="12307">
      <formula>AND(C$10="Entrada",#REF!&lt;&gt;"")</formula>
    </cfRule>
    <cfRule type="expression" dxfId="727" priority="12306">
      <formula>AND(C$10="Salida",#REF!&lt;&gt;"")</formula>
    </cfRule>
  </conditionalFormatting>
  <conditionalFormatting sqref="C135:D140 C141:E141">
    <cfRule type="expression" dxfId="726" priority="988">
      <formula>AND(C$10="Entrada",#REF!&lt;&gt;"")</formula>
    </cfRule>
    <cfRule type="expression" dxfId="725" priority="987">
      <formula>AND(C$10="Salida",#REF!&lt;&gt;"")</formula>
    </cfRule>
    <cfRule type="expression" dxfId="724" priority="986">
      <formula>AND(OR(C$10="Salida",C$10="Entrada"),#REF!="")</formula>
    </cfRule>
  </conditionalFormatting>
  <conditionalFormatting sqref="C143:D148">
    <cfRule type="expression" dxfId="723" priority="873">
      <formula>AND(C$10="Salida",#REF!&lt;&gt;"")</formula>
    </cfRule>
    <cfRule type="expression" dxfId="722" priority="872">
      <formula>AND(OR(C$10="Salida",C$10="Entrada"),#REF!="")</formula>
    </cfRule>
    <cfRule type="expression" dxfId="721" priority="874">
      <formula>AND(C$10="Entrada",#REF!&lt;&gt;"")</formula>
    </cfRule>
  </conditionalFormatting>
  <conditionalFormatting sqref="C150:D150 T150 W150 Z150">
    <cfRule type="expression" dxfId="720" priority="961">
      <formula>AND(C$13="Entrada",#REF!&lt;&gt;"")</formula>
    </cfRule>
  </conditionalFormatting>
  <conditionalFormatting sqref="C151:D156">
    <cfRule type="expression" dxfId="719" priority="866">
      <formula>AND(OR(C$10="Salida",C$10="Entrada"),#REF!="")</formula>
    </cfRule>
    <cfRule type="expression" dxfId="718" priority="867">
      <formula>AND(C$10="Salida",#REF!&lt;&gt;"")</formula>
    </cfRule>
    <cfRule type="expression" dxfId="717" priority="868">
      <formula>AND(C$10="Entrada",#REF!&lt;&gt;"")</formula>
    </cfRule>
  </conditionalFormatting>
  <conditionalFormatting sqref="C159:D164">
    <cfRule type="expression" dxfId="716" priority="862">
      <formula>AND(C$10="Entrada",#REF!&lt;&gt;"")</formula>
    </cfRule>
    <cfRule type="expression" dxfId="715" priority="861">
      <formula>AND(C$10="Salida",#REF!&lt;&gt;"")</formula>
    </cfRule>
    <cfRule type="expression" dxfId="714" priority="860">
      <formula>AND(OR(C$10="Salida",C$10="Entrada"),#REF!="")</formula>
    </cfRule>
  </conditionalFormatting>
  <conditionalFormatting sqref="C166:D166 T166 W166 Z166">
    <cfRule type="expression" dxfId="713" priority="901">
      <formula>AND(C$13="Entrada",#REF!&lt;&gt;"")</formula>
    </cfRule>
  </conditionalFormatting>
  <conditionalFormatting sqref="C168:D173">
    <cfRule type="expression" dxfId="712" priority="696">
      <formula>AND(OR(C$10="Salida",C$10="Entrada"),#REF!="")</formula>
    </cfRule>
    <cfRule type="expression" dxfId="711" priority="697">
      <formula>AND(C$10="Salida",#REF!&lt;&gt;"")</formula>
    </cfRule>
    <cfRule type="expression" dxfId="710" priority="698">
      <formula>AND(C$10="Entrada",#REF!&lt;&gt;"")</formula>
    </cfRule>
  </conditionalFormatting>
  <conditionalFormatting sqref="C175:D175 T175 W175 Z175">
    <cfRule type="expression" dxfId="709" priority="713">
      <formula>AND(C$13="Entrada",#REF!&lt;&gt;"")</formula>
    </cfRule>
  </conditionalFormatting>
  <conditionalFormatting sqref="C177:D182">
    <cfRule type="expression" dxfId="708" priority="395">
      <formula>AND(C$10="Salida",#REF!&lt;&gt;"")</formula>
    </cfRule>
    <cfRule type="expression" dxfId="707" priority="396">
      <formula>AND(C$10="Entrada",#REF!&lt;&gt;"")</formula>
    </cfRule>
    <cfRule type="expression" dxfId="706" priority="394">
      <formula>AND(OR(C$10="Salida",C$10="Entrada"),#REF!="")</formula>
    </cfRule>
  </conditionalFormatting>
  <conditionalFormatting sqref="C184:D184 T184 W184 Z184">
    <cfRule type="expression" dxfId="705" priority="649">
      <formula>AND(C$13="Entrada",#REF!&lt;&gt;"")</formula>
    </cfRule>
  </conditionalFormatting>
  <conditionalFormatting sqref="C186:D191">
    <cfRule type="expression" dxfId="704" priority="389">
      <formula>AND(C$10="Salida",#REF!&lt;&gt;"")</formula>
    </cfRule>
    <cfRule type="expression" dxfId="703" priority="390">
      <formula>AND(C$10="Entrada",#REF!&lt;&gt;"")</formula>
    </cfRule>
    <cfRule type="expression" dxfId="702" priority="388">
      <formula>AND(OR(C$10="Salida",C$10="Entrada"),#REF!="")</formula>
    </cfRule>
  </conditionalFormatting>
  <conditionalFormatting sqref="C193:D193 T193 W193 Z193">
    <cfRule type="expression" dxfId="701" priority="585">
      <formula>AND(C$13="Entrada",#REF!&lt;&gt;"")</formula>
    </cfRule>
  </conditionalFormatting>
  <conditionalFormatting sqref="C195:D200">
    <cfRule type="expression" dxfId="700" priority="384">
      <formula>AND(C$10="Entrada",#REF!&lt;&gt;"")</formula>
    </cfRule>
    <cfRule type="expression" dxfId="699" priority="382">
      <formula>AND(OR(C$10="Salida",C$10="Entrada"),#REF!="")</formula>
    </cfRule>
    <cfRule type="expression" dxfId="698" priority="383">
      <formula>AND(C$10="Salida",#REF!&lt;&gt;"")</formula>
    </cfRule>
  </conditionalFormatting>
  <conditionalFormatting sqref="C202:D202 T202 W202 Z202">
    <cfRule type="expression" dxfId="697" priority="521">
      <formula>AND(C$13="Entrada",#REF!&lt;&gt;"")</formula>
    </cfRule>
  </conditionalFormatting>
  <conditionalFormatting sqref="C149:E149 X149:Y149">
    <cfRule type="expression" dxfId="696" priority="956">
      <formula>AND(OR(C$10="Salida",C$10="Entrada"),#REF!="")</formula>
    </cfRule>
    <cfRule type="expression" dxfId="695" priority="957">
      <formula>AND(C$10="Salida",#REF!&lt;&gt;"")</formula>
    </cfRule>
    <cfRule type="expression" dxfId="694" priority="958">
      <formula>AND(C$10="Entrada",#REF!&lt;&gt;"")</formula>
    </cfRule>
  </conditionalFormatting>
  <conditionalFormatting sqref="C150:E150 T150 W150 Z150 Y149:Z149 Q150">
    <cfRule type="expression" dxfId="693" priority="966">
      <formula>AND(OR(C$13="Salida",C$13="Entrada"),#REF!="")</formula>
    </cfRule>
  </conditionalFormatting>
  <conditionalFormatting sqref="C150:E150 T150 W150 Z150">
    <cfRule type="expression" dxfId="692" priority="962">
      <formula>AND(C$13="Salida",#REF!&lt;&gt;"")</formula>
    </cfRule>
  </conditionalFormatting>
  <conditionalFormatting sqref="C157:E157">
    <cfRule type="expression" dxfId="691" priority="928">
      <formula>AND(C$10="Entrada",#REF!&lt;&gt;"")</formula>
    </cfRule>
    <cfRule type="expression" dxfId="690" priority="927">
      <formula>AND(C$10="Salida",#REF!&lt;&gt;"")</formula>
    </cfRule>
    <cfRule type="expression" dxfId="689" priority="926">
      <formula>AND(OR(C$10="Salida",C$10="Entrada"),#REF!="")</formula>
    </cfRule>
  </conditionalFormatting>
  <conditionalFormatting sqref="C165:E165 X165:Y165">
    <cfRule type="expression" dxfId="688" priority="898">
      <formula>AND(C$10="Entrada",#REF!&lt;&gt;"")</formula>
    </cfRule>
    <cfRule type="expression" dxfId="687" priority="897">
      <formula>AND(C$10="Salida",#REF!&lt;&gt;"")</formula>
    </cfRule>
    <cfRule type="expression" dxfId="686" priority="896">
      <formula>AND(OR(C$10="Salida",C$10="Entrada"),#REF!="")</formula>
    </cfRule>
  </conditionalFormatting>
  <conditionalFormatting sqref="C166:E166 T166 W166 Z166 Y165:Z165 Q166 F159:AC162 AA164:AC164">
    <cfRule type="expression" dxfId="685" priority="906">
      <formula>AND(OR(C$13="Salida",C$13="Entrada"),#REF!="")</formula>
    </cfRule>
  </conditionalFormatting>
  <conditionalFormatting sqref="C166:E166 T166 W166 Z166">
    <cfRule type="expression" dxfId="684" priority="902">
      <formula>AND(C$13="Salida",#REF!&lt;&gt;"")</formula>
    </cfRule>
  </conditionalFormatting>
  <conditionalFormatting sqref="C174:E174">
    <cfRule type="expression" dxfId="683" priority="708">
      <formula>AND(OR(C$10="Salida",C$10="Entrada"),#REF!="")</formula>
    </cfRule>
    <cfRule type="expression" dxfId="682" priority="710">
      <formula>AND(C$10="Entrada",#REF!&lt;&gt;"")</formula>
    </cfRule>
    <cfRule type="expression" dxfId="681" priority="709">
      <formula>AND(C$10="Salida",#REF!&lt;&gt;"")</formula>
    </cfRule>
  </conditionalFormatting>
  <conditionalFormatting sqref="C175:E175 T175 W175 Z175 Q175 AA168:AC173 F170:T170 F171:K171">
    <cfRule type="expression" dxfId="680" priority="715">
      <formula>AND(OR(C$13="Salida",C$13="Entrada"),#REF!="")</formula>
    </cfRule>
  </conditionalFormatting>
  <conditionalFormatting sqref="C175:E175 T175 W175 Z175">
    <cfRule type="expression" dxfId="679" priority="714">
      <formula>AND(C$13="Salida",#REF!&lt;&gt;"")</formula>
    </cfRule>
  </conditionalFormatting>
  <conditionalFormatting sqref="C183:E183 X183:Y183">
    <cfRule type="expression" dxfId="678" priority="644">
      <formula>AND(OR(C$10="Salida",C$10="Entrada"),#REF!="")</formula>
    </cfRule>
    <cfRule type="expression" dxfId="677" priority="645">
      <formula>AND(C$10="Salida",#REF!&lt;&gt;"")</formula>
    </cfRule>
    <cfRule type="expression" dxfId="676" priority="646">
      <formula>AND(C$10="Entrada",#REF!&lt;&gt;"")</formula>
    </cfRule>
  </conditionalFormatting>
  <conditionalFormatting sqref="C184:E184 T184 W184 Z184 Y183:Z183 Q184 AA182:AC182 L180:Z180">
    <cfRule type="expression" dxfId="675" priority="651">
      <formula>AND(OR(C$13="Salida",C$13="Entrada"),#REF!="")</formula>
    </cfRule>
  </conditionalFormatting>
  <conditionalFormatting sqref="C184:E184 T184 W184 Z184">
    <cfRule type="expression" dxfId="674" priority="650">
      <formula>AND(C$13="Salida",#REF!&lt;&gt;"")</formula>
    </cfRule>
  </conditionalFormatting>
  <conditionalFormatting sqref="C192:E192">
    <cfRule type="expression" dxfId="673" priority="580">
      <formula>AND(OR(C$10="Salida",C$10="Entrada"),#REF!="")</formula>
    </cfRule>
    <cfRule type="expression" dxfId="672" priority="581">
      <formula>AND(C$10="Salida",#REF!&lt;&gt;"")</formula>
    </cfRule>
    <cfRule type="expression" dxfId="671" priority="582">
      <formula>AND(C$10="Entrada",#REF!&lt;&gt;"")</formula>
    </cfRule>
  </conditionalFormatting>
  <conditionalFormatting sqref="C193:E193 T193 W193 Z193 Q193 AA189:AC189">
    <cfRule type="expression" dxfId="670" priority="587">
      <formula>AND(OR(C$13="Salida",C$13="Entrada"),#REF!="")</formula>
    </cfRule>
  </conditionalFormatting>
  <conditionalFormatting sqref="C193:E193 T193 W193 Z193">
    <cfRule type="expression" dxfId="669" priority="586">
      <formula>AND(C$13="Salida",#REF!&lt;&gt;"")</formula>
    </cfRule>
  </conditionalFormatting>
  <conditionalFormatting sqref="C201:E201 X201:Y201">
    <cfRule type="expression" dxfId="668" priority="517">
      <formula>AND(C$10="Salida",#REF!&lt;&gt;"")</formula>
    </cfRule>
    <cfRule type="expression" dxfId="667" priority="516">
      <formula>AND(OR(C$10="Salida",C$10="Entrada"),#REF!="")</formula>
    </cfRule>
    <cfRule type="expression" dxfId="666" priority="518">
      <formula>AND(C$10="Entrada",#REF!&lt;&gt;"")</formula>
    </cfRule>
  </conditionalFormatting>
  <conditionalFormatting sqref="C202:E202 T202 W202 Z202 Y201:Z201 Q202 X195:AC195 X196:Z197">
    <cfRule type="expression" dxfId="665" priority="523">
      <formula>AND(OR(C$13="Salida",C$13="Entrada"),#REF!="")</formula>
    </cfRule>
  </conditionalFormatting>
  <conditionalFormatting sqref="C202:E202 T202 W202 Z202">
    <cfRule type="expression" dxfId="664" priority="522">
      <formula>AND(C$13="Salida",#REF!&lt;&gt;"")</formula>
    </cfRule>
  </conditionalFormatting>
  <conditionalFormatting sqref="C97:G97">
    <cfRule type="expression" dxfId="663" priority="1080">
      <formula>AND(C$10="Salida",#REF!&lt;&gt;"")</formula>
    </cfRule>
    <cfRule type="expression" dxfId="662" priority="1079">
      <formula>AND(OR(C$10="Salida",C$10="Entrada"),#REF!="")</formula>
    </cfRule>
    <cfRule type="expression" dxfId="661" priority="1081">
      <formula>AND(C$10="Entrada",#REF!&lt;&gt;"")</formula>
    </cfRule>
  </conditionalFormatting>
  <conditionalFormatting sqref="C2:Z3 AD2:AF6 AD10:AF14 AD18:AF22 AD26:AF30 AD34:AF38 AD46:AF50 AF53:AG53 AD55:AF55 AF56:AF59 AD56:AE60 AF62:AG62 AD64:AE68 AD73:AE77 AD82:AE86 AD91:AE95 AD100:AE104 AD109:AE113 AD118:AE122 AD127:AE131">
    <cfRule type="expression" dxfId="660" priority="12444">
      <formula>AND(C$11="Entrada",#REF!&lt;&gt;"")</formula>
    </cfRule>
    <cfRule type="expression" dxfId="659" priority="12443">
      <formula>AND(C$11="Salida",#REF!&lt;&gt;"")</formula>
    </cfRule>
    <cfRule type="expression" dxfId="658" priority="12442">
      <formula>AND(OR(C$11="Salida",C$11="Entrada"),#REF!="")</formula>
    </cfRule>
  </conditionalFormatting>
  <conditionalFormatting sqref="E46:E51">
    <cfRule type="expression" dxfId="657" priority="12304">
      <formula>AND(E$13="Entrada",#REF!&lt;&gt;"")</formula>
    </cfRule>
    <cfRule type="expression" dxfId="656" priority="12303">
      <formula>AND(E$13="Salida",#REF!&lt;&gt;"")</formula>
    </cfRule>
  </conditionalFormatting>
  <conditionalFormatting sqref="E135:E140 Q142">
    <cfRule type="expression" dxfId="655" priority="989">
      <formula>AND(E$13="Salida",#REF!&lt;&gt;"")</formula>
    </cfRule>
    <cfRule type="expression" dxfId="654" priority="990">
      <formula>AND(E$13="Entrada",#REF!&lt;&gt;"")</formula>
    </cfRule>
  </conditionalFormatting>
  <conditionalFormatting sqref="E142">
    <cfRule type="expression" dxfId="653" priority="997">
      <formula>AND(E$13="Entrada",#REF!&lt;&gt;"")</formula>
    </cfRule>
  </conditionalFormatting>
  <conditionalFormatting sqref="E143:E148">
    <cfRule type="expression" dxfId="652" priority="876">
      <formula>AND(E$13="Entrada",#REF!&lt;&gt;"")</formula>
    </cfRule>
    <cfRule type="expression" dxfId="651" priority="877">
      <formula>AND(OR(E$13="Salida",E$13="Entrada"),#REF!="")</formula>
    </cfRule>
    <cfRule type="expression" dxfId="650" priority="875">
      <formula>AND(E$13="Salida",#REF!&lt;&gt;"")</formula>
    </cfRule>
  </conditionalFormatting>
  <conditionalFormatting sqref="E150">
    <cfRule type="expression" dxfId="649" priority="967">
      <formula>AND(E$13="Entrada",#REF!&lt;&gt;"")</formula>
    </cfRule>
  </conditionalFormatting>
  <conditionalFormatting sqref="E151:E156">
    <cfRule type="expression" dxfId="648" priority="871">
      <formula>AND(OR(E$13="Salida",E$13="Entrada"),#REF!="")</formula>
    </cfRule>
    <cfRule type="expression" dxfId="647" priority="870">
      <formula>AND(E$13="Entrada",#REF!&lt;&gt;"")</formula>
    </cfRule>
    <cfRule type="expression" dxfId="646" priority="869">
      <formula>AND(E$13="Salida",#REF!&lt;&gt;"")</formula>
    </cfRule>
  </conditionalFormatting>
  <conditionalFormatting sqref="E158">
    <cfRule type="expression" dxfId="645" priority="937">
      <formula>AND(E$13="Entrada",#REF!&lt;&gt;"")</formula>
    </cfRule>
  </conditionalFormatting>
  <conditionalFormatting sqref="E159:E164">
    <cfRule type="expression" dxfId="644" priority="863">
      <formula>AND(E$13="Salida",#REF!&lt;&gt;"")</formula>
    </cfRule>
    <cfRule type="expression" dxfId="643" priority="865">
      <formula>AND(OR(E$13="Salida",E$13="Entrada"),#REF!="")</formula>
    </cfRule>
    <cfRule type="expression" dxfId="642" priority="864">
      <formula>AND(E$13="Entrada",#REF!&lt;&gt;"")</formula>
    </cfRule>
  </conditionalFormatting>
  <conditionalFormatting sqref="E166">
    <cfRule type="expression" dxfId="641" priority="907">
      <formula>AND(E$13="Entrada",#REF!&lt;&gt;"")</formula>
    </cfRule>
  </conditionalFormatting>
  <conditionalFormatting sqref="E168:E173">
    <cfRule type="expression" dxfId="640" priority="701">
      <formula>AND(OR(E$13="Salida",E$13="Entrada"),#REF!="")</formula>
    </cfRule>
    <cfRule type="expression" dxfId="639" priority="700">
      <formula>AND(E$13="Entrada",#REF!&lt;&gt;"")</formula>
    </cfRule>
    <cfRule type="expression" dxfId="638" priority="699">
      <formula>AND(E$13="Salida",#REF!&lt;&gt;"")</formula>
    </cfRule>
  </conditionalFormatting>
  <conditionalFormatting sqref="E175">
    <cfRule type="expression" dxfId="637" priority="716">
      <formula>AND(E$13="Entrada",#REF!&lt;&gt;"")</formula>
    </cfRule>
  </conditionalFormatting>
  <conditionalFormatting sqref="E177:E182">
    <cfRule type="expression" dxfId="636" priority="399">
      <formula>AND(OR(E$13="Salida",E$13="Entrada"),#REF!="")</formula>
    </cfRule>
    <cfRule type="expression" dxfId="635" priority="398">
      <formula>AND(E$13="Entrada",#REF!&lt;&gt;"")</formula>
    </cfRule>
    <cfRule type="expression" dxfId="634" priority="397">
      <formula>AND(E$13="Salida",#REF!&lt;&gt;"")</formula>
    </cfRule>
  </conditionalFormatting>
  <conditionalFormatting sqref="E184">
    <cfRule type="expression" dxfId="633" priority="652">
      <formula>AND(E$13="Entrada",#REF!&lt;&gt;"")</formula>
    </cfRule>
  </conditionalFormatting>
  <conditionalFormatting sqref="E186:E191">
    <cfRule type="expression" dxfId="632" priority="393">
      <formula>AND(OR(E$13="Salida",E$13="Entrada"),#REF!="")</formula>
    </cfRule>
    <cfRule type="expression" dxfId="631" priority="392">
      <formula>AND(E$13="Entrada",#REF!&lt;&gt;"")</formula>
    </cfRule>
    <cfRule type="expression" dxfId="630" priority="391">
      <formula>AND(E$13="Salida",#REF!&lt;&gt;"")</formula>
    </cfRule>
  </conditionalFormatting>
  <conditionalFormatting sqref="E193">
    <cfRule type="expression" dxfId="629" priority="588">
      <formula>AND(E$13="Entrada",#REF!&lt;&gt;"")</formula>
    </cfRule>
  </conditionalFormatting>
  <conditionalFormatting sqref="E195:E200">
    <cfRule type="expression" dxfId="628" priority="387">
      <formula>AND(OR(E$13="Salida",E$13="Entrada"),#REF!="")</formula>
    </cfRule>
    <cfRule type="expression" dxfId="627" priority="385">
      <formula>AND(E$13="Salida",#REF!&lt;&gt;"")</formula>
    </cfRule>
    <cfRule type="expression" dxfId="626" priority="386">
      <formula>AND(E$13="Entrada",#REF!&lt;&gt;"")</formula>
    </cfRule>
  </conditionalFormatting>
  <conditionalFormatting sqref="E202">
    <cfRule type="expression" dxfId="625" priority="524">
      <formula>AND(E$13="Entrada",#REF!&lt;&gt;"")</formula>
    </cfRule>
  </conditionalFormatting>
  <conditionalFormatting sqref="F123:G123">
    <cfRule type="expression" dxfId="624" priority="1049">
      <formula>AND(OR(F$10="Salida",F$10="Entrada"),#REF!="")</formula>
    </cfRule>
    <cfRule type="expression" dxfId="623" priority="1050">
      <formula>AND(F$10="Salida",#REF!&lt;&gt;"")</formula>
    </cfRule>
    <cfRule type="expression" dxfId="622" priority="1051">
      <formula>AND(F$10="Entrada",#REF!&lt;&gt;"")</formula>
    </cfRule>
  </conditionalFormatting>
  <conditionalFormatting sqref="F148:G148">
    <cfRule type="expression" dxfId="621" priority="834">
      <formula>AND(F$10="Salida",#REF!&lt;&gt;"")</formula>
    </cfRule>
    <cfRule type="expression" dxfId="620" priority="833">
      <formula>AND(OR(F$10="Salida",F$10="Entrada"),#REF!="")</formula>
    </cfRule>
    <cfRule type="expression" dxfId="619" priority="835">
      <formula>AND(F$10="Entrada",#REF!&lt;&gt;"")</formula>
    </cfRule>
  </conditionalFormatting>
  <conditionalFormatting sqref="F164:G164">
    <cfRule type="expression" dxfId="618" priority="777">
      <formula>AND(F$10="Salida",#REF!&lt;&gt;"")</formula>
    </cfRule>
    <cfRule type="expression" dxfId="617" priority="778">
      <formula>AND(F$10="Entrada",#REF!&lt;&gt;"")</formula>
    </cfRule>
    <cfRule type="expression" dxfId="616" priority="776">
      <formula>AND(OR(F$10="Salida",F$10="Entrada"),#REF!="")</formula>
    </cfRule>
  </conditionalFormatting>
  <conditionalFormatting sqref="F173:G173">
    <cfRule type="expression" dxfId="615" priority="678">
      <formula>AND(F$10="Entrada",#REF!&lt;&gt;"")</formula>
    </cfRule>
    <cfRule type="expression" dxfId="614" priority="677">
      <formula>AND(F$10="Salida",#REF!&lt;&gt;"")</formula>
    </cfRule>
    <cfRule type="expression" dxfId="613" priority="676">
      <formula>AND(OR(F$10="Salida",F$10="Entrada"),#REF!="")</formula>
    </cfRule>
  </conditionalFormatting>
  <conditionalFormatting sqref="F182:G182">
    <cfRule type="expression" dxfId="612" priority="614">
      <formula>AND(F$10="Entrada",#REF!&lt;&gt;"")</formula>
    </cfRule>
    <cfRule type="expression" dxfId="611" priority="613">
      <formula>AND(F$10="Salida",#REF!&lt;&gt;"")</formula>
    </cfRule>
    <cfRule type="expression" dxfId="610" priority="612">
      <formula>AND(OR(F$10="Salida",F$10="Entrada"),#REF!="")</formula>
    </cfRule>
  </conditionalFormatting>
  <conditionalFormatting sqref="F191:G191">
    <cfRule type="expression" dxfId="609" priority="550">
      <formula>AND(F$10="Entrada",#REF!&lt;&gt;"")</formula>
    </cfRule>
    <cfRule type="expression" dxfId="608" priority="549">
      <formula>AND(F$10="Salida",#REF!&lt;&gt;"")</formula>
    </cfRule>
    <cfRule type="expression" dxfId="607" priority="548">
      <formula>AND(OR(F$10="Salida",F$10="Entrada"),#REF!="")</formula>
    </cfRule>
  </conditionalFormatting>
  <conditionalFormatting sqref="F200:G200">
    <cfRule type="expression" dxfId="606" priority="486">
      <formula>AND(F$10="Entrada",#REF!&lt;&gt;"")</formula>
    </cfRule>
    <cfRule type="expression" dxfId="605" priority="485">
      <formula>AND(F$10="Salida",#REF!&lt;&gt;"")</formula>
    </cfRule>
    <cfRule type="expression" dxfId="604" priority="484">
      <formula>AND(OR(F$10="Salida",F$10="Entrada"),#REF!="")</formula>
    </cfRule>
  </conditionalFormatting>
  <conditionalFormatting sqref="F159:H160">
    <cfRule type="expression" dxfId="603" priority="747">
      <formula>AND(OR(F$13="Salida",F$13="Entrada"),#REF!="")</formula>
    </cfRule>
  </conditionalFormatting>
  <conditionalFormatting sqref="F172:H172">
    <cfRule type="expression" dxfId="602" priority="684">
      <formula>AND(F$13="Salida",#REF!&lt;&gt;"")</formula>
    </cfRule>
    <cfRule type="expression" dxfId="601" priority="683">
      <formula>AND(F$13="Entrada",#REF!&lt;&gt;"")</formula>
    </cfRule>
  </conditionalFormatting>
  <conditionalFormatting sqref="F177:H178">
    <cfRule type="expression" dxfId="600" priority="601">
      <formula>AND(OR(F$13="Salida",F$13="Entrada"),#REF!="")</formula>
    </cfRule>
  </conditionalFormatting>
  <conditionalFormatting sqref="F180:H181">
    <cfRule type="expression" dxfId="599" priority="620">
      <formula>AND(F$13="Salida",#REF!&lt;&gt;"")</formula>
    </cfRule>
    <cfRule type="expression" dxfId="598" priority="619">
      <formula>AND(F$13="Entrada",#REF!&lt;&gt;"")</formula>
    </cfRule>
    <cfRule type="expression" dxfId="597" priority="618">
      <formula>AND(OR(F$13="Salida",F$13="Entrada"),#REF!="")</formula>
    </cfRule>
  </conditionalFormatting>
  <conditionalFormatting sqref="F168:K169 U169:W172 F170:T170 L170:N172 F171:K171 H175:K175 N175">
    <cfRule type="expression" dxfId="596" priority="725">
      <formula>AND(F$13="Salida",#REF!&lt;&gt;"")</formula>
    </cfRule>
  </conditionalFormatting>
  <conditionalFormatting sqref="F168:K169">
    <cfRule type="expression" dxfId="595" priority="665">
      <formula>AND(OR(F$13="Salida",F$13="Entrada"),#REF!="")</formula>
    </cfRule>
  </conditionalFormatting>
  <conditionalFormatting sqref="F4:N39 E46:E47 F46:N50 R46:AC50 M51:N51 G51:K52 C53:N53 R53:AB53 F55:K59 R55:AC59 L55:N60 Q55:Q60 G60:K61 M61:N61 C62:N62 Q62:AB62 F64:K68 O64:Z68 L64:N70 H71:K71 N71 F73:AC77 H80:K80 N80 F82:Z86 H89:K89 N89 F91:Z95 H98:K98 N98 L100:Z104 F100:K105 H107:K107 N107 F109:Z113 H116:K116 N116 F118:Z122 H125:K125 N125 F127:Z131 H134:K134 N134 F135:Z139 H142:K142 N142 F143:T147 X143:Z147 U143:W148 H150:K150 N150 F151:Z155 H158:K158 N158 H166:K166 N166">
    <cfRule type="expression" dxfId="594" priority="12302">
      <formula>AND(OR(C$13="Salida",C$13="Entrada"),#REF!="")</formula>
    </cfRule>
  </conditionalFormatting>
  <conditionalFormatting sqref="F195:T199">
    <cfRule type="expression" dxfId="593" priority="133">
      <formula>AND(OR(F$13="Salida",F$13="Entrada"),#REF!="")</formula>
    </cfRule>
    <cfRule type="expression" dxfId="592" priority="134">
      <formula>AND(F$13="Entrada",#REF!&lt;&gt;"")</formula>
    </cfRule>
    <cfRule type="expression" dxfId="591" priority="135">
      <formula>AND(F$13="Salida",#REF!&lt;&gt;"")</formula>
    </cfRule>
  </conditionalFormatting>
  <conditionalFormatting sqref="F163:Z163">
    <cfRule type="expression" dxfId="590" priority="783">
      <formula>AND(F$13="Entrada",#REF!&lt;&gt;"")</formula>
    </cfRule>
    <cfRule type="expression" dxfId="589" priority="784">
      <formula>AND(F$13="Salida",#REF!&lt;&gt;"")</formula>
    </cfRule>
  </conditionalFormatting>
  <conditionalFormatting sqref="F177:Z179 L180:Z180 H184:K184 N184">
    <cfRule type="expression" dxfId="588" priority="661">
      <formula>AND(F$13="Salida",#REF!&lt;&gt;"")</formula>
    </cfRule>
  </conditionalFormatting>
  <conditionalFormatting sqref="F186:Z190">
    <cfRule type="expression" dxfId="587" priority="168">
      <formula>AND(OR(F$13="Salida",F$13="Entrada"),#REF!="")</formula>
    </cfRule>
    <cfRule type="expression" dxfId="586" priority="170">
      <formula>AND(F$13="Entrada",#REF!&lt;&gt;"")</formula>
    </cfRule>
    <cfRule type="expression" dxfId="585" priority="171">
      <formula>AND(F$13="Salida",#REF!&lt;&gt;"")</formula>
    </cfRule>
  </conditionalFormatting>
  <conditionalFormatting sqref="F163:AC163">
    <cfRule type="expression" dxfId="584" priority="782">
      <formula>AND(OR(F$13="Salida",F$13="Entrada"),#REF!="")</formula>
    </cfRule>
  </conditionalFormatting>
  <conditionalFormatting sqref="F177:AC179">
    <cfRule type="expression" dxfId="583" priority="283">
      <formula>AND(OR(F$13="Salida",F$13="Entrada"),#REF!="")</formula>
    </cfRule>
  </conditionalFormatting>
  <conditionalFormatting sqref="G123:H123 J123:K123 M96:N96 G97:K97 M115:N115 M133:N133 M149:N149 M157:N157 M165:N165">
    <cfRule type="expression" dxfId="582" priority="1052">
      <formula>AND(G$13="Salida",#REF!&lt;&gt;"")</formula>
    </cfRule>
  </conditionalFormatting>
  <conditionalFormatting sqref="G148:H148">
    <cfRule type="expression" dxfId="581" priority="838">
      <formula>AND(OR(G$13="Salida",G$13="Entrada"),#REF!="")</formula>
    </cfRule>
    <cfRule type="expression" dxfId="580" priority="836">
      <formula>AND(G$13="Salida",#REF!&lt;&gt;"")</formula>
    </cfRule>
    <cfRule type="expression" dxfId="579" priority="837">
      <formula>AND(G$13="Entrada",#REF!&lt;&gt;"")</formula>
    </cfRule>
  </conditionalFormatting>
  <conditionalFormatting sqref="G164:H164">
    <cfRule type="expression" dxfId="578" priority="781">
      <formula>AND(OR(G$13="Salida",G$13="Entrada"),#REF!="")</formula>
    </cfRule>
    <cfRule type="expression" dxfId="577" priority="780">
      <formula>AND(G$13="Entrada",#REF!&lt;&gt;"")</formula>
    </cfRule>
    <cfRule type="expression" dxfId="576" priority="779">
      <formula>AND(G$13="Salida",#REF!&lt;&gt;"")</formula>
    </cfRule>
  </conditionalFormatting>
  <conditionalFormatting sqref="G173:H173">
    <cfRule type="expression" dxfId="575" priority="681">
      <formula>AND(OR(G$13="Salida",G$13="Entrada"),#REF!="")</formula>
    </cfRule>
    <cfRule type="expression" dxfId="574" priority="680">
      <formula>AND(G$13="Entrada",#REF!&lt;&gt;"")</formula>
    </cfRule>
    <cfRule type="expression" dxfId="573" priority="679">
      <formula>AND(G$13="Salida",#REF!&lt;&gt;"")</formula>
    </cfRule>
  </conditionalFormatting>
  <conditionalFormatting sqref="G182:H182">
    <cfRule type="expression" dxfId="572" priority="616">
      <formula>AND(G$13="Entrada",#REF!&lt;&gt;"")</formula>
    </cfRule>
    <cfRule type="expression" dxfId="571" priority="615">
      <formula>AND(G$13="Salida",#REF!&lt;&gt;"")</formula>
    </cfRule>
    <cfRule type="expression" dxfId="570" priority="617">
      <formula>AND(OR(G$13="Salida",G$13="Entrada"),#REF!="")</formula>
    </cfRule>
  </conditionalFormatting>
  <conditionalFormatting sqref="G191:H191">
    <cfRule type="expression" dxfId="569" priority="553">
      <formula>AND(OR(G$13="Salida",G$13="Entrada"),#REF!="")</formula>
    </cfRule>
    <cfRule type="expression" dxfId="568" priority="551">
      <formula>AND(G$13="Salida",#REF!&lt;&gt;"")</formula>
    </cfRule>
    <cfRule type="expression" dxfId="567" priority="552">
      <formula>AND(G$13="Entrada",#REF!&lt;&gt;"")</formula>
    </cfRule>
  </conditionalFormatting>
  <conditionalFormatting sqref="G200:H200">
    <cfRule type="expression" dxfId="566" priority="489">
      <formula>AND(OR(G$13="Salida",G$13="Entrada"),#REF!="")</formula>
    </cfRule>
    <cfRule type="expression" dxfId="565" priority="488">
      <formula>AND(G$13="Entrada",#REF!&lt;&gt;"")</formula>
    </cfRule>
    <cfRule type="expression" dxfId="564" priority="487">
      <formula>AND(G$13="Salida",#REF!&lt;&gt;"")</formula>
    </cfRule>
  </conditionalFormatting>
  <conditionalFormatting sqref="H175:K175 N175 F170:T170 L170:N172 F171:K171 F168:K169 U169:W172">
    <cfRule type="expression" dxfId="563" priority="724">
      <formula>AND(F$13="Entrada",#REF!&lt;&gt;"")</formula>
    </cfRule>
  </conditionalFormatting>
  <conditionalFormatting sqref="H175:K175 N175">
    <cfRule type="expression" dxfId="562" priority="720">
      <formula>AND(OR(H$13="Salida",H$13="Entrada"),#REF!="")</formula>
    </cfRule>
  </conditionalFormatting>
  <conditionalFormatting sqref="H184:K184 N184 L180:Z180 F177:Z179">
    <cfRule type="expression" dxfId="561" priority="660">
      <formula>AND(F$13="Entrada",#REF!&lt;&gt;"")</formula>
    </cfRule>
  </conditionalFormatting>
  <conditionalFormatting sqref="H184:K184 N184">
    <cfRule type="expression" dxfId="560" priority="656">
      <formula>AND(OR(H$13="Salida",H$13="Entrada"),#REF!="")</formula>
    </cfRule>
  </conditionalFormatting>
  <conditionalFormatting sqref="H193:K193 N193">
    <cfRule type="expression" dxfId="559" priority="592">
      <formula>AND(OR(H$13="Salida",H$13="Entrada"),#REF!="")</formula>
    </cfRule>
    <cfRule type="expression" dxfId="558" priority="597">
      <formula>AND(H$13="Salida",#REF!&lt;&gt;"")</formula>
    </cfRule>
    <cfRule type="expression" dxfId="557" priority="596">
      <formula>AND(H$13="Entrada",#REF!&lt;&gt;"")</formula>
    </cfRule>
  </conditionalFormatting>
  <conditionalFormatting sqref="H202:K202 N202 X195:Z197">
    <cfRule type="expression" dxfId="556" priority="532">
      <formula>AND(H$13="Entrada",#REF!&lt;&gt;"")</formula>
    </cfRule>
  </conditionalFormatting>
  <conditionalFormatting sqref="H202:K202 N202">
    <cfRule type="expression" dxfId="555" priority="528">
      <formula>AND(OR(H$13="Salida",H$13="Entrada"),#REF!="")</formula>
    </cfRule>
  </conditionalFormatting>
  <conditionalFormatting sqref="I123:J123">
    <cfRule type="expression" dxfId="554" priority="1006">
      <formula>AND(I$10="Entrada",#REF!&lt;&gt;"")</formula>
    </cfRule>
    <cfRule type="expression" dxfId="553" priority="1005">
      <formula>AND(I$10="Salida",#REF!&lt;&gt;"")</formula>
    </cfRule>
    <cfRule type="expression" dxfId="552" priority="1004">
      <formula>AND(OR(I$10="Salida",I$10="Entrada"),#REF!="")</formula>
    </cfRule>
  </conditionalFormatting>
  <conditionalFormatting sqref="I148:J148">
    <cfRule type="expression" dxfId="551" priority="827">
      <formula>AND(OR(I$10="Salida",I$10="Entrada"),#REF!="")</formula>
    </cfRule>
    <cfRule type="expression" dxfId="550" priority="828">
      <formula>AND(I$10="Salida",#REF!&lt;&gt;"")</formula>
    </cfRule>
    <cfRule type="expression" dxfId="549" priority="829">
      <formula>AND(I$10="Entrada",#REF!&lt;&gt;"")</formula>
    </cfRule>
  </conditionalFormatting>
  <conditionalFormatting sqref="I165:J165">
    <cfRule type="expression" dxfId="548" priority="770">
      <formula>AND(OR(I$10="Salida",I$10="Entrada"),#REF!="")</formula>
    </cfRule>
    <cfRule type="expression" dxfId="547" priority="771">
      <formula>AND(I$10="Salida",#REF!&lt;&gt;"")</formula>
    </cfRule>
    <cfRule type="expression" dxfId="546" priority="772">
      <formula>AND(I$10="Entrada",#REF!&lt;&gt;"")</formula>
    </cfRule>
  </conditionalFormatting>
  <conditionalFormatting sqref="I174:J174">
    <cfRule type="expression" dxfId="545" priority="670">
      <formula>AND(OR(I$10="Salida",I$10="Entrada"),#REF!="")</formula>
    </cfRule>
    <cfRule type="expression" dxfId="544" priority="672">
      <formula>AND(I$10="Entrada",#REF!&lt;&gt;"")</formula>
    </cfRule>
    <cfRule type="expression" dxfId="543" priority="671">
      <formula>AND(I$10="Salida",#REF!&lt;&gt;"")</formula>
    </cfRule>
  </conditionalFormatting>
  <conditionalFormatting sqref="I182:J183">
    <cfRule type="expression" dxfId="542" priority="364">
      <formula>AND(OR(I$10="Salida",I$10="Entrada"),#REF!="")</formula>
    </cfRule>
    <cfRule type="expression" dxfId="541" priority="366">
      <formula>AND(I$10="Entrada",#REF!&lt;&gt;"")</formula>
    </cfRule>
    <cfRule type="expression" dxfId="540" priority="365">
      <formula>AND(I$10="Salida",#REF!&lt;&gt;"")</formula>
    </cfRule>
  </conditionalFormatting>
  <conditionalFormatting sqref="I192:J192">
    <cfRule type="expression" dxfId="539" priority="544">
      <formula>AND(I$10="Entrada",#REF!&lt;&gt;"")</formula>
    </cfRule>
    <cfRule type="expression" dxfId="538" priority="543">
      <formula>AND(I$10="Salida",#REF!&lt;&gt;"")</formula>
    </cfRule>
    <cfRule type="expression" dxfId="537" priority="542">
      <formula>AND(OR(I$10="Salida",I$10="Entrada"),#REF!="")</formula>
    </cfRule>
  </conditionalFormatting>
  <conditionalFormatting sqref="I200:J201">
    <cfRule type="expression" dxfId="536" priority="137">
      <formula>AND(I$10="Salida",#REF!&lt;&gt;"")</formula>
    </cfRule>
    <cfRule type="expression" dxfId="535" priority="138">
      <formula>AND(I$10="Entrada",#REF!&lt;&gt;"")</formula>
    </cfRule>
    <cfRule type="expression" dxfId="534" priority="136">
      <formula>AND(OR(I$10="Salida",I$10="Entrada"),#REF!="")</formula>
    </cfRule>
  </conditionalFormatting>
  <conditionalFormatting sqref="I161:K162">
    <cfRule type="expression" dxfId="533" priority="748">
      <formula>AND(OR(I$13="Salida",I$13="Entrada"),#REF!="")</formula>
    </cfRule>
  </conditionalFormatting>
  <conditionalFormatting sqref="I172:K172">
    <cfRule type="expression" dxfId="532" priority="329">
      <formula>AND(I$13="Entrada",#REF!&lt;&gt;"")</formula>
    </cfRule>
    <cfRule type="expression" dxfId="531" priority="330">
      <formula>AND(I$13="Salida",#REF!&lt;&gt;"")</formula>
    </cfRule>
  </conditionalFormatting>
  <conditionalFormatting sqref="I179:K181">
    <cfRule type="expression" dxfId="530" priority="300">
      <formula>AND(OR(I$13="Salida",I$13="Entrada"),#REF!="")</formula>
    </cfRule>
  </conditionalFormatting>
  <conditionalFormatting sqref="I180:K181">
    <cfRule type="expression" dxfId="529" priority="302">
      <formula>AND(I$13="Salida",#REF!&lt;&gt;"")</formula>
    </cfRule>
    <cfRule type="expression" dxfId="528" priority="301">
      <formula>AND(I$13="Entrada",#REF!&lt;&gt;"")</formula>
    </cfRule>
  </conditionalFormatting>
  <conditionalFormatting sqref="I170:N172">
    <cfRule type="expression" dxfId="527" priority="327">
      <formula>AND(OR(I$13="Salida",I$13="Entrada"),#REF!="")</formula>
    </cfRule>
  </conditionalFormatting>
  <conditionalFormatting sqref="J148:K148">
    <cfRule type="expression" dxfId="526" priority="832">
      <formula>AND(OR(J$13="Salida",J$13="Entrada"),#REF!="")</formula>
    </cfRule>
    <cfRule type="expression" dxfId="525" priority="831">
      <formula>AND(J$13="Entrada",#REF!&lt;&gt;"")</formula>
    </cfRule>
    <cfRule type="expression" dxfId="524" priority="830">
      <formula>AND(J$13="Salida",#REF!&lt;&gt;"")</formula>
    </cfRule>
  </conditionalFormatting>
  <conditionalFormatting sqref="J165:K165">
    <cfRule type="expression" dxfId="523" priority="773">
      <formula>AND(J$13="Salida",#REF!&lt;&gt;"")</formula>
    </cfRule>
    <cfRule type="expression" dxfId="522" priority="774">
      <formula>AND(J$13="Entrada",#REF!&lt;&gt;"")</formula>
    </cfRule>
    <cfRule type="expression" dxfId="521" priority="775">
      <formula>AND(OR(J$13="Salida",J$13="Entrada"),#REF!="")</formula>
    </cfRule>
  </conditionalFormatting>
  <conditionalFormatting sqref="J174:K174">
    <cfRule type="expression" dxfId="520" priority="673">
      <formula>AND(J$13="Salida",#REF!&lt;&gt;"")</formula>
    </cfRule>
    <cfRule type="expression" dxfId="519" priority="675">
      <formula>AND(OR(J$13="Salida",J$13="Entrada"),#REF!="")</formula>
    </cfRule>
    <cfRule type="expression" dxfId="518" priority="674">
      <formula>AND(J$13="Entrada",#REF!&lt;&gt;"")</formula>
    </cfRule>
  </conditionalFormatting>
  <conditionalFormatting sqref="J182:K183">
    <cfRule type="expression" dxfId="517" priority="367">
      <formula>AND(J$13="Salida",#REF!&lt;&gt;"")</formula>
    </cfRule>
    <cfRule type="expression" dxfId="516" priority="368">
      <formula>AND(J$13="Entrada",#REF!&lt;&gt;"")</formula>
    </cfRule>
    <cfRule type="expression" dxfId="515" priority="369">
      <formula>AND(OR(J$13="Salida",J$13="Entrada"),#REF!="")</formula>
    </cfRule>
  </conditionalFormatting>
  <conditionalFormatting sqref="J192:K192">
    <cfRule type="expression" dxfId="514" priority="545">
      <formula>AND(J$13="Salida",#REF!&lt;&gt;"")</formula>
    </cfRule>
    <cfRule type="expression" dxfId="513" priority="546">
      <formula>AND(J$13="Entrada",#REF!&lt;&gt;"")</formula>
    </cfRule>
    <cfRule type="expression" dxfId="512" priority="547">
      <formula>AND(OR(J$13="Salida",J$13="Entrada"),#REF!="")</formula>
    </cfRule>
  </conditionalFormatting>
  <conditionalFormatting sqref="J200:K200">
    <cfRule type="expression" dxfId="511" priority="141">
      <formula>AND(OR(J$13="Salida",J$13="Entrada"),#REF!="")</formula>
    </cfRule>
  </conditionalFormatting>
  <conditionalFormatting sqref="J200:K201">
    <cfRule type="expression" dxfId="510" priority="140">
      <formula>AND(J$13="Entrada",#REF!&lt;&gt;"")</formula>
    </cfRule>
    <cfRule type="expression" dxfId="509" priority="139">
      <formula>AND(J$13="Salida",#REF!&lt;&gt;"")</formula>
    </cfRule>
  </conditionalFormatting>
  <conditionalFormatting sqref="J201:K201">
    <cfRule type="expression" dxfId="508" priority="483">
      <formula>AND(OR(J$13="Salida",J$13="Entrada"),#REF!="")</formula>
    </cfRule>
  </conditionalFormatting>
  <conditionalFormatting sqref="L96:M96 L115:M115 L133:M133 L149:M149 L157:M157 L165:M165 L141:M141 C46:D51 F51:G52 L51:M52 R51:S52 X51:Y52 AA51:AB52 AD51:AF52 C52:E52 O52:P52 C55:D60 AF60 F60:G61 R60:S61 X60:Y61 AA60:AB61 C61:E61 L61:M61 O61:P61 AD61:AF61 C64:D69 O69:P69 C70:E70 X70:Y70 C73:D78 R78:S78 C79:E79 C82:D87 O87:P87 C88:E88 X88:Y88 C91:D96 O96:P96 X97:Y97 C100:D105 O105:P105 C106:E106 C109:D114 C115:E115 X115:Y115 C118:D123 O123:P123 C124:E124 C127:D132 C133:E133 X133:Y133">
    <cfRule type="expression" dxfId="507" priority="12305">
      <formula>AND(OR(C$10="Salida",C$10="Entrada"),#REF!="")</formula>
    </cfRule>
  </conditionalFormatting>
  <conditionalFormatting sqref="L140:M140">
    <cfRule type="expression" dxfId="506" priority="845">
      <formula>AND(OR(L$10="Salida",L$10="Entrada"),#REF!="")</formula>
    </cfRule>
    <cfRule type="expression" dxfId="505" priority="846">
      <formula>AND(L$10="Salida",#REF!&lt;&gt;"")</formula>
    </cfRule>
    <cfRule type="expression" dxfId="504" priority="847">
      <formula>AND(L$10="Entrada",#REF!&lt;&gt;"")</formula>
    </cfRule>
  </conditionalFormatting>
  <conditionalFormatting sqref="L173:M173">
    <cfRule type="expression" dxfId="503" priority="376">
      <formula>AND(OR(L$10="Salida",L$10="Entrada"),#REF!="")</formula>
    </cfRule>
    <cfRule type="expression" dxfId="502" priority="378">
      <formula>AND(L$10="Entrada",#REF!&lt;&gt;"")</formula>
    </cfRule>
    <cfRule type="expression" dxfId="501" priority="377">
      <formula>AND(L$10="Salida",#REF!&lt;&gt;"")</formula>
    </cfRule>
  </conditionalFormatting>
  <conditionalFormatting sqref="L174:M174">
    <cfRule type="expression" dxfId="500" priority="723">
      <formula>AND(L$10="Entrada",#REF!&lt;&gt;"")</formula>
    </cfRule>
    <cfRule type="expression" dxfId="499" priority="722">
      <formula>AND(L$10="Salida",#REF!&lt;&gt;"")</formula>
    </cfRule>
    <cfRule type="expression" dxfId="498" priority="721">
      <formula>AND(OR(L$10="Salida",L$10="Entrada"),#REF!="")</formula>
    </cfRule>
  </conditionalFormatting>
  <conditionalFormatting sqref="L183:M183">
    <cfRule type="expression" dxfId="497" priority="659">
      <formula>AND(L$10="Entrada",#REF!&lt;&gt;"")</formula>
    </cfRule>
    <cfRule type="expression" dxfId="496" priority="658">
      <formula>AND(L$10="Salida",#REF!&lt;&gt;"")</formula>
    </cfRule>
    <cfRule type="expression" dxfId="495" priority="657">
      <formula>AND(OR(L$10="Salida",L$10="Entrada"),#REF!="")</formula>
    </cfRule>
  </conditionalFormatting>
  <conditionalFormatting sqref="L192:M192">
    <cfRule type="expression" dxfId="494" priority="593">
      <formula>AND(OR(L$10="Salida",L$10="Entrada"),#REF!="")</formula>
    </cfRule>
    <cfRule type="expression" dxfId="493" priority="594">
      <formula>AND(L$10="Salida",#REF!&lt;&gt;"")</formula>
    </cfRule>
    <cfRule type="expression" dxfId="492" priority="595">
      <formula>AND(L$10="Entrada",#REF!&lt;&gt;"")</formula>
    </cfRule>
  </conditionalFormatting>
  <conditionalFormatting sqref="L201:M201">
    <cfRule type="expression" dxfId="491" priority="334">
      <formula>AND(OR(L$10="Salida",L$10="Entrada"),#REF!="")</formula>
    </cfRule>
    <cfRule type="expression" dxfId="490" priority="335">
      <formula>AND(L$10="Salida",#REF!&lt;&gt;"")</formula>
    </cfRule>
    <cfRule type="expression" dxfId="489" priority="336">
      <formula>AND(L$10="Entrada",#REF!&lt;&gt;"")</formula>
    </cfRule>
  </conditionalFormatting>
  <conditionalFormatting sqref="L181:Q181">
    <cfRule type="expression" dxfId="488" priority="289">
      <formula>AND(OR(L$13="Salida",L$13="Entrada"),#REF!="")</formula>
    </cfRule>
    <cfRule type="expression" dxfId="487" priority="290">
      <formula>AND(L$13="Entrada",#REF!&lt;&gt;"")</formula>
    </cfRule>
    <cfRule type="expression" dxfId="486" priority="291">
      <formula>AND(L$13="Salida",#REF!&lt;&gt;"")</formula>
    </cfRule>
  </conditionalFormatting>
  <conditionalFormatting sqref="L169:T169">
    <cfRule type="expression" dxfId="485" priority="320">
      <formula>AND(L$13="Salida",#REF!&lt;&gt;"")</formula>
    </cfRule>
    <cfRule type="expression" dxfId="484" priority="319">
      <formula>AND(L$13="Entrada",#REF!&lt;&gt;"")</formula>
    </cfRule>
    <cfRule type="expression" dxfId="483" priority="318">
      <formula>AND(OR(L$13="Salida",L$13="Entrada"),#REF!="")</formula>
    </cfRule>
  </conditionalFormatting>
  <conditionalFormatting sqref="L168:W168">
    <cfRule type="expression" dxfId="482" priority="321">
      <formula>AND(OR(L$13="Salida",L$13="Entrada"),#REF!="")</formula>
    </cfRule>
    <cfRule type="expression" dxfId="481" priority="323">
      <formula>AND(L$13="Salida",#REF!&lt;&gt;"")</formula>
    </cfRule>
    <cfRule type="expression" dxfId="480" priority="322">
      <formula>AND(L$13="Entrada",#REF!&lt;&gt;"")</formula>
    </cfRule>
  </conditionalFormatting>
  <conditionalFormatting sqref="M96:N96 G97:K97 M115:N115 G123:H123 J123:K123 M133:N133 M149:N149 M157:N157 M165:N165">
    <cfRule type="expression" dxfId="479" priority="1053">
      <formula>AND(G$13="Entrada",#REF!&lt;&gt;"")</formula>
    </cfRule>
    <cfRule type="expression" dxfId="478" priority="1054">
      <formula>AND(OR(G$13="Salida",G$13="Entrada"),#REF!="")</formula>
    </cfRule>
  </conditionalFormatting>
  <conditionalFormatting sqref="M140:N141">
    <cfRule type="expression" dxfId="477" priority="849">
      <formula>AND(M$13="Entrada",#REF!&lt;&gt;"")</formula>
    </cfRule>
    <cfRule type="expression" dxfId="476" priority="848">
      <formula>AND(M$13="Salida",#REF!&lt;&gt;"")</formula>
    </cfRule>
    <cfRule type="expression" dxfId="475" priority="850">
      <formula>AND(OR(M$13="Salida",M$13="Entrada"),#REF!="")</formula>
    </cfRule>
  </conditionalFormatting>
  <conditionalFormatting sqref="M173:N174">
    <cfRule type="expression" dxfId="474" priority="379">
      <formula>AND(M$13="Salida",#REF!&lt;&gt;"")</formula>
    </cfRule>
    <cfRule type="expression" dxfId="473" priority="380">
      <formula>AND(M$13="Entrada",#REF!&lt;&gt;"")</formula>
    </cfRule>
    <cfRule type="expression" dxfId="472" priority="381">
      <formula>AND(OR(M$13="Salida",M$13="Entrada"),#REF!="")</formula>
    </cfRule>
  </conditionalFormatting>
  <conditionalFormatting sqref="M183:N183">
    <cfRule type="expression" dxfId="471" priority="654">
      <formula>AND(M$13="Entrada",#REF!&lt;&gt;"")</formula>
    </cfRule>
    <cfRule type="expression" dxfId="470" priority="653">
      <formula>AND(M$13="Salida",#REF!&lt;&gt;"")</formula>
    </cfRule>
    <cfRule type="expression" dxfId="469" priority="655">
      <formula>AND(OR(M$13="Salida",M$13="Entrada"),#REF!="")</formula>
    </cfRule>
  </conditionalFormatting>
  <conditionalFormatting sqref="M192:N192">
    <cfRule type="expression" dxfId="468" priority="590">
      <formula>AND(M$13="Entrada",#REF!&lt;&gt;"")</formula>
    </cfRule>
    <cfRule type="expression" dxfId="467" priority="591">
      <formula>AND(OR(M$13="Salida",M$13="Entrada"),#REF!="")</formula>
    </cfRule>
    <cfRule type="expression" dxfId="466" priority="589">
      <formula>AND(M$13="Salida",#REF!&lt;&gt;"")</formula>
    </cfRule>
  </conditionalFormatting>
  <conditionalFormatting sqref="M201:N201">
    <cfRule type="expression" dxfId="465" priority="338">
      <formula>AND(M$13="Entrada",#REF!&lt;&gt;"")</formula>
    </cfRule>
    <cfRule type="expression" dxfId="464" priority="337">
      <formula>AND(M$13="Salida",#REF!&lt;&gt;"")</formula>
    </cfRule>
    <cfRule type="expression" dxfId="463" priority="339">
      <formula>AND(OR(M$13="Salida",M$13="Entrada"),#REF!="")</formula>
    </cfRule>
  </conditionalFormatting>
  <conditionalFormatting sqref="N52">
    <cfRule type="expression" dxfId="462" priority="2290">
      <formula>AND(#REF!="Entrada",#REF!&lt;&gt;"")</formula>
    </cfRule>
    <cfRule type="expression" dxfId="461" priority="2289">
      <formula>AND(#REF!="Salida",#REF!&lt;&gt;"")</formula>
    </cfRule>
    <cfRule type="expression" dxfId="460" priority="2288">
      <formula>AND(OR(#REF!="Salida",#REF!="Entrada"),#REF!="")</formula>
    </cfRule>
  </conditionalFormatting>
  <conditionalFormatting sqref="O114:P114">
    <cfRule type="expression" dxfId="459" priority="1063">
      <formula>AND(O$10="Entrada",#REF!&lt;&gt;"")</formula>
    </cfRule>
    <cfRule type="expression" dxfId="458" priority="1062">
      <formula>AND(O$10="Salida",#REF!&lt;&gt;"")</formula>
    </cfRule>
    <cfRule type="expression" dxfId="457" priority="1061">
      <formula>AND(OR(O$10="Salida",O$10="Entrada"),#REF!="")</formula>
    </cfRule>
  </conditionalFormatting>
  <conditionalFormatting sqref="O132:P133">
    <cfRule type="expression" dxfId="456" priority="734">
      <formula>AND(O$10="Entrada",#REF!&lt;&gt;"")</formula>
    </cfRule>
    <cfRule type="expression" dxfId="455" priority="733">
      <formula>AND(O$10="Salida",#REF!&lt;&gt;"")</formula>
    </cfRule>
    <cfRule type="expression" dxfId="454" priority="732">
      <formula>AND(OR(O$10="Salida",O$10="Entrada"),#REF!="")</formula>
    </cfRule>
  </conditionalFormatting>
  <conditionalFormatting sqref="O140:P140">
    <cfRule type="expression" dxfId="453" priority="980">
      <formula>AND(OR(O$10="Salida",O$10="Entrada"),#REF!="")</formula>
    </cfRule>
    <cfRule type="expression" dxfId="452" priority="981">
      <formula>AND(O$10="Salida",#REF!&lt;&gt;"")</formula>
    </cfRule>
    <cfRule type="expression" dxfId="451" priority="982">
      <formula>AND(O$10="Entrada",#REF!&lt;&gt;"")</formula>
    </cfRule>
  </conditionalFormatting>
  <conditionalFormatting sqref="O148:P149">
    <cfRule type="expression" dxfId="450" priority="823">
      <formula>AND(O$10="Entrada",#REF!&lt;&gt;"")</formula>
    </cfRule>
    <cfRule type="expression" dxfId="449" priority="822">
      <formula>AND(O$10="Salida",#REF!&lt;&gt;"")</formula>
    </cfRule>
    <cfRule type="expression" dxfId="448" priority="821">
      <formula>AND(OR(O$10="Salida",O$10="Entrada"),#REF!="")</formula>
    </cfRule>
  </conditionalFormatting>
  <conditionalFormatting sqref="O156:P156">
    <cfRule type="expression" dxfId="447" priority="922">
      <formula>AND(O$10="Entrada",#REF!&lt;&gt;"")</formula>
    </cfRule>
    <cfRule type="expression" dxfId="446" priority="921">
      <formula>AND(O$10="Salida",#REF!&lt;&gt;"")</formula>
    </cfRule>
    <cfRule type="expression" dxfId="445" priority="920">
      <formula>AND(OR(O$10="Salida",O$10="Entrada"),#REF!="")</formula>
    </cfRule>
  </conditionalFormatting>
  <conditionalFormatting sqref="O164:P164">
    <cfRule type="expression" dxfId="444" priority="402">
      <formula>AND(O$10="Entrada",#REF!&lt;&gt;"")</formula>
    </cfRule>
    <cfRule type="expression" dxfId="443" priority="400">
      <formula>AND(OR(O$10="Salida",O$10="Entrada"),#REF!="")</formula>
    </cfRule>
    <cfRule type="expression" dxfId="442" priority="401">
      <formula>AND(O$10="Salida",#REF!&lt;&gt;"")</formula>
    </cfRule>
  </conditionalFormatting>
  <conditionalFormatting sqref="O173:P173">
    <cfRule type="expression" dxfId="441" priority="702">
      <formula>AND(OR(O$10="Salida",O$10="Entrada"),#REF!="")</formula>
    </cfRule>
    <cfRule type="expression" dxfId="440" priority="704">
      <formula>AND(O$10="Entrada",#REF!&lt;&gt;"")</formula>
    </cfRule>
    <cfRule type="expression" dxfId="439" priority="703">
      <formula>AND(O$10="Salida",#REF!&lt;&gt;"")</formula>
    </cfRule>
  </conditionalFormatting>
  <conditionalFormatting sqref="O182:P182">
    <cfRule type="expression" dxfId="438" priority="638">
      <formula>AND(OR(O$10="Salida",O$10="Entrada"),#REF!="")</formula>
    </cfRule>
    <cfRule type="expression" dxfId="437" priority="639">
      <formula>AND(O$10="Salida",#REF!&lt;&gt;"")</formula>
    </cfRule>
    <cfRule type="expression" dxfId="436" priority="640">
      <formula>AND(O$10="Entrada",#REF!&lt;&gt;"")</formula>
    </cfRule>
  </conditionalFormatting>
  <conditionalFormatting sqref="O191:P191">
    <cfRule type="expression" dxfId="435" priority="354">
      <formula>AND(O$10="Entrada",#REF!&lt;&gt;"")</formula>
    </cfRule>
    <cfRule type="expression" dxfId="434" priority="352">
      <formula>AND(OR(O$10="Salida",O$10="Entrada"),#REF!="")</formula>
    </cfRule>
    <cfRule type="expression" dxfId="433" priority="353">
      <formula>AND(O$10="Salida",#REF!&lt;&gt;"")</formula>
    </cfRule>
  </conditionalFormatting>
  <conditionalFormatting sqref="O200:P200">
    <cfRule type="expression" dxfId="432" priority="511">
      <formula>AND(O$10="Salida",#REF!&lt;&gt;"")</formula>
    </cfRule>
    <cfRule type="expression" dxfId="431" priority="512">
      <formula>AND(O$10="Entrada",#REF!&lt;&gt;"")</formula>
    </cfRule>
    <cfRule type="expression" dxfId="430" priority="510">
      <formula>AND(OR(O$10="Salida",O$10="Entrada"),#REF!="")</formula>
    </cfRule>
  </conditionalFormatting>
  <conditionalFormatting sqref="O4:Q16 C4:E38 Q19:Q25 Q28:Q30 Q33 Q36:Q38 Q40 U48:W48 S51:V51 Z51 Y52:Z52 Q52:Q53 E55:E60 S60:V60 Z60 P61:Q61 Y61:Z61 Q62:AB62 E64:E69 P69:Q69 Y70:Z70 Q71 E73:E78 S78:T78 Q80 E82:E87 P87:Q87 Y88:Z88 Q89 E91:E96 P96:Q96 Y97:Z97 Q98 E100:K105 P105:Q105 Q107 E109:E114 Y115:Z115 Q116 E118:E123 P123:Q123 Q125 E127:E132 Y133:Z133 Q134 M51:N51 G51:K52 G60:K61 M61:N61 F4:N39 F46:N50 F53:N53 R53:AB53 F55:K59 R55:AC59 L55:Q60 F62:N62 F64:K68 O64:W68 L64:N70 H71:K71 N71 F73:AC77 H80:K80 N80 F82:Z86 H89:K89 N89 F91:Z95 H98:K98 N98 L100:Z104 H107:K107 N107 F109:Z113 H116:K116 N116 F118:Z122 H125:K125 N125 F127:Z131 H134:K134 N134 F135:Z139 H142:K142 N142 F143:T147 X143:Z147 U143:W148 H150:K150 N150 F151:Z155 H158:K158 N158 H166:K166 N166 F159:Z162">
    <cfRule type="expression" dxfId="429" priority="12396">
      <formula>AND(C$13="Entrada",#REF!&lt;&gt;"")</formula>
    </cfRule>
  </conditionalFormatting>
  <conditionalFormatting sqref="O4:Q30 O32:Q38 O46:Q51 S51:W51 U52:W52 AC52 AD53:AE53 O55:P60 S60:W60 U61:W61 AC61 AD62:AE62 AA64:AC69 U69:Z69 C71:E71 T71 W71 Z71 U79:W79 C80:E80 T80 W80 Z80 AA82:AC87 C89:E89 T89 W89 Z89 AA91:AC96 C98:E98 T98 W98 Z98 AA100:AC105 C107:E107 T107 W107 Z107 AA109:AC114 C116:E116 T116 W116 Z116 AA118:AC123 C125:E125 T125 W125 Z125 AA127:AC132 C134:E134 T134 W134 Z134 C4:E38 Q40:Q41 Z51 Y52:Z52 Q52:Q53 E55:E60 Z60 P61:Q61 Y61:Z61 E64:E69 P69:Q69 Y70:Z70 Q71 E73:E78 S78:T78 Q80 E82:E87 P87:Q87 Y88:Z88 Q89 E91:E96 P96:Q96 Y97:Z97 Q98 E100:E105 P105:Q105 Q107 E109:E114 Y115:Z115 Q116 E118:E123 P123:Q123 Q125 E127:E132 Y133:Z133 Q134 E48:E51">
    <cfRule type="expression" dxfId="428" priority="12490">
      <formula>AND(OR(C$13="Salida",C$13="Entrada"),#REF!="")</formula>
    </cfRule>
  </conditionalFormatting>
  <conditionalFormatting sqref="O171:T172">
    <cfRule type="expression" dxfId="427" priority="308">
      <formula>AND(O$13="Salida",#REF!&lt;&gt;"")</formula>
    </cfRule>
    <cfRule type="expression" dxfId="426" priority="307">
      <formula>AND(O$13="Entrada",#REF!&lt;&gt;"")</formula>
    </cfRule>
    <cfRule type="expression" dxfId="425" priority="306">
      <formula>AND(OR(O$13="Salida",O$13="Entrada"),#REF!="")</formula>
    </cfRule>
  </conditionalFormatting>
  <conditionalFormatting sqref="P114:Q114">
    <cfRule type="expression" dxfId="424" priority="1066">
      <formula>AND(OR(P$13="Salida",P$13="Entrada"),#REF!="")</formula>
    </cfRule>
    <cfRule type="expression" dxfId="423" priority="1064">
      <formula>AND(P$13="Salida",#REF!&lt;&gt;"")</formula>
    </cfRule>
    <cfRule type="expression" dxfId="422" priority="1065">
      <formula>AND(P$13="Entrada",#REF!&lt;&gt;"")</formula>
    </cfRule>
  </conditionalFormatting>
  <conditionalFormatting sqref="P132:Q133">
    <cfRule type="expression" dxfId="421" priority="737">
      <formula>AND(OR(P$13="Salida",P$13="Entrada"),#REF!="")</formula>
    </cfRule>
    <cfRule type="expression" dxfId="420" priority="735">
      <formula>AND(P$13="Salida",#REF!&lt;&gt;"")</formula>
    </cfRule>
    <cfRule type="expression" dxfId="419" priority="736">
      <formula>AND(P$13="Entrada",#REF!&lt;&gt;"")</formula>
    </cfRule>
  </conditionalFormatting>
  <conditionalFormatting sqref="P140:Q140">
    <cfRule type="expression" dxfId="418" priority="983">
      <formula>AND(P$13="Salida",#REF!&lt;&gt;"")</formula>
    </cfRule>
    <cfRule type="expression" dxfId="417" priority="984">
      <formula>AND(P$13="Entrada",#REF!&lt;&gt;"")</formula>
    </cfRule>
    <cfRule type="expression" dxfId="416" priority="985">
      <formula>AND(OR(P$13="Salida",P$13="Entrada"),#REF!="")</formula>
    </cfRule>
  </conditionalFormatting>
  <conditionalFormatting sqref="P148:Q149">
    <cfRule type="expression" dxfId="415" priority="826">
      <formula>AND(OR(P$13="Salida",P$13="Entrada"),#REF!="")</formula>
    </cfRule>
    <cfRule type="expression" dxfId="414" priority="824">
      <formula>AND(P$13="Salida",#REF!&lt;&gt;"")</formula>
    </cfRule>
    <cfRule type="expression" dxfId="413" priority="825">
      <formula>AND(P$13="Entrada",#REF!&lt;&gt;"")</formula>
    </cfRule>
  </conditionalFormatting>
  <conditionalFormatting sqref="P156:Q156">
    <cfRule type="expression" dxfId="412" priority="923">
      <formula>AND(P$13="Salida",#REF!&lt;&gt;"")</formula>
    </cfRule>
    <cfRule type="expression" dxfId="411" priority="924">
      <formula>AND(P$13="Entrada",#REF!&lt;&gt;"")</formula>
    </cfRule>
    <cfRule type="expression" dxfId="410" priority="925">
      <formula>AND(OR(P$13="Salida",P$13="Entrada"),#REF!="")</formula>
    </cfRule>
  </conditionalFormatting>
  <conditionalFormatting sqref="P164:Q164">
    <cfRule type="expression" dxfId="409" priority="403">
      <formula>AND(P$13="Salida",#REF!&lt;&gt;"")</formula>
    </cfRule>
    <cfRule type="expression" dxfId="408" priority="404">
      <formula>AND(P$13="Entrada",#REF!&lt;&gt;"")</formula>
    </cfRule>
    <cfRule type="expression" dxfId="407" priority="405">
      <formula>AND(OR(P$13="Salida",P$13="Entrada"),#REF!="")</formula>
    </cfRule>
  </conditionalFormatting>
  <conditionalFormatting sqref="P173:Q173">
    <cfRule type="expression" dxfId="406" priority="707">
      <formula>AND(OR(P$13="Salida",P$13="Entrada"),#REF!="")</formula>
    </cfRule>
    <cfRule type="expression" dxfId="405" priority="706">
      <formula>AND(P$13="Entrada",#REF!&lt;&gt;"")</formula>
    </cfRule>
    <cfRule type="expression" dxfId="404" priority="705">
      <formula>AND(P$13="Salida",#REF!&lt;&gt;"")</formula>
    </cfRule>
  </conditionalFormatting>
  <conditionalFormatting sqref="P182:Q182">
    <cfRule type="expression" dxfId="403" priority="643">
      <formula>AND(OR(P$13="Salida",P$13="Entrada"),#REF!="")</formula>
    </cfRule>
    <cfRule type="expression" dxfId="402" priority="642">
      <formula>AND(P$13="Entrada",#REF!&lt;&gt;"")</formula>
    </cfRule>
    <cfRule type="expression" dxfId="401" priority="641">
      <formula>AND(P$13="Salida",#REF!&lt;&gt;"")</formula>
    </cfRule>
  </conditionalFormatting>
  <conditionalFormatting sqref="P191:Q191">
    <cfRule type="expression" dxfId="400" priority="355">
      <formula>AND(P$13="Salida",#REF!&lt;&gt;"")</formula>
    </cfRule>
    <cfRule type="expression" dxfId="399" priority="356">
      <formula>AND(P$13="Entrada",#REF!&lt;&gt;"")</formula>
    </cfRule>
    <cfRule type="expression" dxfId="398" priority="357">
      <formula>AND(OR(P$13="Salida",P$13="Entrada"),#REF!="")</formula>
    </cfRule>
  </conditionalFormatting>
  <conditionalFormatting sqref="P200:Q200">
    <cfRule type="expression" dxfId="397" priority="515">
      <formula>AND(OR(P$13="Salida",P$13="Entrada"),#REF!="")</formula>
    </cfRule>
    <cfRule type="expression" dxfId="396" priority="514">
      <formula>AND(P$13="Entrada",#REF!&lt;&gt;"")</formula>
    </cfRule>
    <cfRule type="expression" dxfId="395" priority="513">
      <formula>AND(P$13="Salida",#REF!&lt;&gt;"")</formula>
    </cfRule>
  </conditionalFormatting>
  <conditionalFormatting sqref="Q17 O17:P30 O33:P38 R46:W47 X46:Z48 AA46:AC50 O46:Q51 R48:T50 U49:Z50 U51:W52 AC52 C53:N53 AD53:AE53 U60:W61 AC61 C62:N62 AD62:AE62 O64:Z68 AA64:AC69 U69:Z69 C71:E71 T71 W71 Z71 U79:W79 C80:E80 T80 W80 Z80 AA82:AC87 C89:E89 T89 W89 Z89 AA91:AC96 C98:E98 T98 W98 Z98 AA100:AC105 C107:E107 T107 W107 Z107 AA109:AC114 C116:E116 T116 W116 Z116 AA118:AC123 C125:E125 T125 W125 Z125 AA127:AC132 C134:E134 T134 W134 Z134 F4:N39 F46:N50 M51:N51 G51:K52 R53:AB53 F55:K59 R55:AC59 L55:Q60 G60:K61 M61:N61 R62:AB62 F64:K68 L64:N70 H71:K71 N71 F73:AC77 H80:K80 N80 F82:Z86 H89:K89 N89 F91:Z95 H98:K98 N98 L100:Z104 F100:K105 H107:K107 N107 F109:Z113 H116:K116 N116 F118:Z122 H125:K125 N125 F127:Z131 H134:K134 N134 F135:Z139 H142:K142 N142 F143:T147 X143:Z147 U143:W148 H150:K150 N150 F151:Z155 H158:K158 N158 F159:Z162 H166:K166 N166">
    <cfRule type="expression" dxfId="394" priority="12437">
      <formula>AND(C$13="Salida",#REF!&lt;&gt;"")</formula>
    </cfRule>
  </conditionalFormatting>
  <conditionalFormatting sqref="Q18 AA24:AB24 Q26:Q27 O32:Q32 Q34:Q35 Q41">
    <cfRule type="expression" dxfId="393" priority="12613">
      <formula>AND(O$13="Entrada",#REF!&lt;&gt;"")</formula>
    </cfRule>
  </conditionalFormatting>
  <conditionalFormatting sqref="Q158">
    <cfRule type="expression" dxfId="392" priority="929">
      <formula>AND(Q$13="Salida",#REF!&lt;&gt;"")</formula>
    </cfRule>
    <cfRule type="expression" dxfId="391" priority="930">
      <formula>AND(Q$13="Entrada",#REF!&lt;&gt;"")</formula>
    </cfRule>
  </conditionalFormatting>
  <conditionalFormatting sqref="Q175">
    <cfRule type="expression" dxfId="390" priority="711">
      <formula>AND(Q$13="Salida",#REF!&lt;&gt;"")</formula>
    </cfRule>
    <cfRule type="expression" dxfId="389" priority="712">
      <formula>AND(Q$13="Entrada",#REF!&lt;&gt;"")</formula>
    </cfRule>
  </conditionalFormatting>
  <conditionalFormatting sqref="Q193">
    <cfRule type="expression" dxfId="388" priority="584">
      <formula>AND(Q$13="Entrada",#REF!&lt;&gt;"")</formula>
    </cfRule>
    <cfRule type="expression" dxfId="387" priority="583">
      <formula>AND(Q$13="Salida",#REF!&lt;&gt;"")</formula>
    </cfRule>
  </conditionalFormatting>
  <conditionalFormatting sqref="R105:S105">
    <cfRule type="expression" dxfId="386" priority="1073">
      <formula>AND(OR(R$10="Salida",R$10="Entrada"),#REF!="")</formula>
    </cfRule>
    <cfRule type="expression" dxfId="385" priority="1074">
      <formula>AND(R$10="Salida",#REF!&lt;&gt;"")</formula>
    </cfRule>
    <cfRule type="expression" dxfId="384" priority="1075">
      <formula>AND(R$10="Entrada",#REF!&lt;&gt;"")</formula>
    </cfRule>
  </conditionalFormatting>
  <conditionalFormatting sqref="R132:S133">
    <cfRule type="expression" dxfId="383" priority="738">
      <formula>AND(OR(R$10="Salida",R$10="Entrada"),#REF!="")</formula>
    </cfRule>
    <cfRule type="expression" dxfId="382" priority="739">
      <formula>AND(R$10="Salida",#REF!&lt;&gt;"")</formula>
    </cfRule>
    <cfRule type="expression" dxfId="381" priority="740">
      <formula>AND(R$10="Entrada",#REF!&lt;&gt;"")</formula>
    </cfRule>
  </conditionalFormatting>
  <conditionalFormatting sqref="R141:S141">
    <cfRule type="expression" dxfId="380" priority="968">
      <formula>AND(OR(R$10="Salida",R$10="Entrada"),#REF!="")</formula>
    </cfRule>
    <cfRule type="expression" dxfId="379" priority="969">
      <formula>AND(R$10="Salida",#REF!&lt;&gt;"")</formula>
    </cfRule>
    <cfRule type="expression" dxfId="378" priority="970">
      <formula>AND(R$10="Entrada",#REF!&lt;&gt;"")</formula>
    </cfRule>
  </conditionalFormatting>
  <conditionalFormatting sqref="R149:S149">
    <cfRule type="expression" dxfId="377" priority="939">
      <formula>AND(R$10="Salida",#REF!&lt;&gt;"")</formula>
    </cfRule>
    <cfRule type="expression" dxfId="376" priority="938">
      <formula>AND(OR(R$10="Salida",R$10="Entrada"),#REF!="")</formula>
    </cfRule>
    <cfRule type="expression" dxfId="375" priority="940">
      <formula>AND(R$10="Entrada",#REF!&lt;&gt;"")</formula>
    </cfRule>
  </conditionalFormatting>
  <conditionalFormatting sqref="R156:S157">
    <cfRule type="expression" dxfId="374" priority="811">
      <formula>AND(R$10="Entrada",#REF!&lt;&gt;"")</formula>
    </cfRule>
    <cfRule type="expression" dxfId="373" priority="810">
      <formula>AND(R$10="Salida",#REF!&lt;&gt;"")</formula>
    </cfRule>
    <cfRule type="expression" dxfId="372" priority="809">
      <formula>AND(OR(R$10="Salida",R$10="Entrada"),#REF!="")</formula>
    </cfRule>
  </conditionalFormatting>
  <conditionalFormatting sqref="R164:S165">
    <cfRule type="expression" dxfId="371" priority="817">
      <formula>AND(R$10="Entrada",#REF!&lt;&gt;"")</formula>
    </cfRule>
    <cfRule type="expression" dxfId="370" priority="815">
      <formula>AND(OR(R$10="Salida",R$10="Entrada"),#REF!="")</formula>
    </cfRule>
    <cfRule type="expression" dxfId="369" priority="816">
      <formula>AND(R$10="Salida",#REF!&lt;&gt;"")</formula>
    </cfRule>
  </conditionalFormatting>
  <conditionalFormatting sqref="R173:S174">
    <cfRule type="expression" dxfId="368" priority="687">
      <formula>AND(OR(R$10="Salida",R$10="Entrada"),#REF!="")</formula>
    </cfRule>
    <cfRule type="expression" dxfId="367" priority="689">
      <formula>AND(R$10="Entrada",#REF!&lt;&gt;"")</formula>
    </cfRule>
    <cfRule type="expression" dxfId="366" priority="688">
      <formula>AND(R$10="Salida",#REF!&lt;&gt;"")</formula>
    </cfRule>
  </conditionalFormatting>
  <conditionalFormatting sqref="R182:S183">
    <cfRule type="expression" dxfId="365" priority="360">
      <formula>AND(R$10="Entrada",#REF!&lt;&gt;"")</formula>
    </cfRule>
    <cfRule type="expression" dxfId="364" priority="358">
      <formula>AND(OR(R$10="Salida",R$10="Entrada"),#REF!="")</formula>
    </cfRule>
    <cfRule type="expression" dxfId="363" priority="359">
      <formula>AND(R$10="Salida",#REF!&lt;&gt;"")</formula>
    </cfRule>
  </conditionalFormatting>
  <conditionalFormatting sqref="R191:S192">
    <cfRule type="expression" dxfId="362" priority="561">
      <formula>AND(R$10="Entrada",#REF!&lt;&gt;"")</formula>
    </cfRule>
    <cfRule type="expression" dxfId="361" priority="559">
      <formula>AND(OR(R$10="Salida",R$10="Entrada"),#REF!="")</formula>
    </cfRule>
    <cfRule type="expression" dxfId="360" priority="560">
      <formula>AND(R$10="Salida",#REF!&lt;&gt;"")</formula>
    </cfRule>
  </conditionalFormatting>
  <conditionalFormatting sqref="R200:S201">
    <cfRule type="expression" dxfId="359" priority="340">
      <formula>AND(OR(R$10="Salida",R$10="Entrada"),#REF!="")</formula>
    </cfRule>
    <cfRule type="expression" dxfId="358" priority="341">
      <formula>AND(R$10="Salida",#REF!&lt;&gt;"")</formula>
    </cfRule>
    <cfRule type="expression" dxfId="357" priority="342">
      <formula>AND(R$10="Entrada",#REF!&lt;&gt;"")</formula>
    </cfRule>
  </conditionalFormatting>
  <conditionalFormatting sqref="R177:T178">
    <cfRule type="expression" dxfId="356" priority="293">
      <formula>AND(OR(R$13="Salida",R$13="Entrada"),#REF!="")</formula>
    </cfRule>
  </conditionalFormatting>
  <conditionalFormatting sqref="R180:T181">
    <cfRule type="expression" dxfId="355" priority="292">
      <formula>AND(OR(R$13="Salida",R$13="Entrada"),#REF!="")</formula>
    </cfRule>
  </conditionalFormatting>
  <conditionalFormatting sqref="R181:T181">
    <cfRule type="expression" dxfId="354" priority="295">
      <formula>AND(R$13="Entrada",#REF!&lt;&gt;"")</formula>
    </cfRule>
    <cfRule type="expression" dxfId="353" priority="296">
      <formula>AND(R$13="Salida",#REF!&lt;&gt;"")</formula>
    </cfRule>
  </conditionalFormatting>
  <conditionalFormatting sqref="R46:W47 X46:Z48 AA46:AC50 R48:T50 U49:Z50 C53:D53 C62:D62 X64:AC69 X4:AB22 R4:W38 AD7:AF9 AC10:AC14 AD15:AF17 Q17 O17:P30 X23:Z24 AD23:AF25 X25:AB38 AD31:AF33 O33:P38 X39:Z39 AA40:AB40 O46:Q51 U52:W52 AC52 AD53:AE53 U61:W61 AC61 AD62:AE62 U69:V69 C71:D71 T71 W71 Z71 U79:W79 C80:D80 T80 W80 Z80 AA82:AC87 C89:D89 T89 W89 Z89 AA91:AC96 C98:D98 T98 W98 Z98 AA100:AC105 C107:D107 T107 W107 Z107 AA109:AC114 C116:D116 T116 W116 Z116 AA118:AC123 C125:D125 T125 W125 Z125 AA127:AC132 C134:D134 T134 W134 Z134">
    <cfRule type="expression" dxfId="352" priority="12431">
      <formula>AND(C$13="Entrada",#REF!&lt;&gt;"")</formula>
    </cfRule>
  </conditionalFormatting>
  <conditionalFormatting sqref="S51:T51 Y52:Z52 S60:T60 P61:Q61 Y61:Z61 P69:Q69 Y70:Z70 S78:T78 P87:Q87 Y88:Z88 P96:Q96 Y97:Z97 P105:Q105 Y115:Z115 P123:Q123 Y133:Z133 U48:W48 Q62 O4:Q16 C4:E38 Q19:Q25 Q28:Q30 Q33 Q36:Q38 Q40 Z51 Q52:Q53 E55:E60 Z60 E64:E69 Q71 E73:E78 Q80 E82:E87 Q89 E91:E96 Q98 E100:E105 Q107 E109:E114 Q116 E118:E123 Q125 E127:E132 Q134">
    <cfRule type="expression" dxfId="351" priority="12395">
      <formula>AND(C$13="Salida",#REF!&lt;&gt;"")</formula>
    </cfRule>
  </conditionalFormatting>
  <conditionalFormatting sqref="S105:T105">
    <cfRule type="expression" dxfId="350" priority="1076">
      <formula>AND(S$13="Salida",#REF!&lt;&gt;"")</formula>
    </cfRule>
    <cfRule type="expression" dxfId="349" priority="1078">
      <formula>AND(OR(S$13="Salida",S$13="Entrada"),#REF!="")</formula>
    </cfRule>
    <cfRule type="expression" dxfId="348" priority="1077">
      <formula>AND(S$13="Entrada",#REF!&lt;&gt;"")</formula>
    </cfRule>
  </conditionalFormatting>
  <conditionalFormatting sqref="S132:T133">
    <cfRule type="expression" dxfId="347" priority="741">
      <formula>AND(S$13="Salida",#REF!&lt;&gt;"")</formula>
    </cfRule>
    <cfRule type="expression" dxfId="346" priority="743">
      <formula>AND(OR(S$13="Salida",S$13="Entrada"),#REF!="")</formula>
    </cfRule>
    <cfRule type="expression" dxfId="345" priority="742">
      <formula>AND(S$13="Entrada",#REF!&lt;&gt;"")</formula>
    </cfRule>
  </conditionalFormatting>
  <conditionalFormatting sqref="S141:T141">
    <cfRule type="expression" dxfId="344" priority="972">
      <formula>AND(S$13="Entrada",#REF!&lt;&gt;"")</formula>
    </cfRule>
    <cfRule type="expression" dxfId="343" priority="971">
      <formula>AND(S$13="Salida",#REF!&lt;&gt;"")</formula>
    </cfRule>
    <cfRule type="expression" dxfId="342" priority="973">
      <formula>AND(OR(S$13="Salida",S$13="Entrada"),#REF!="")</formula>
    </cfRule>
  </conditionalFormatting>
  <conditionalFormatting sqref="S149:T149">
    <cfRule type="expression" dxfId="341" priority="941">
      <formula>AND(S$13="Salida",#REF!&lt;&gt;"")</formula>
    </cfRule>
    <cfRule type="expression" dxfId="340" priority="942">
      <formula>AND(S$13="Entrada",#REF!&lt;&gt;"")</formula>
    </cfRule>
    <cfRule type="expression" dxfId="339" priority="943">
      <formula>AND(OR(S$13="Salida",S$13="Entrada"),#REF!="")</formula>
    </cfRule>
  </conditionalFormatting>
  <conditionalFormatting sqref="S156:T157">
    <cfRule type="expression" dxfId="338" priority="814">
      <formula>AND(OR(S$13="Salida",S$13="Entrada"),#REF!="")</formula>
    </cfRule>
    <cfRule type="expression" dxfId="337" priority="812">
      <formula>AND(S$13="Salida",#REF!&lt;&gt;"")</formula>
    </cfRule>
    <cfRule type="expression" dxfId="336" priority="813">
      <formula>AND(S$13="Entrada",#REF!&lt;&gt;"")</formula>
    </cfRule>
  </conditionalFormatting>
  <conditionalFormatting sqref="S164:T165">
    <cfRule type="expression" dxfId="335" priority="820">
      <formula>AND(OR(S$13="Salida",S$13="Entrada"),#REF!="")</formula>
    </cfRule>
    <cfRule type="expression" dxfId="334" priority="819">
      <formula>AND(S$13="Entrada",#REF!&lt;&gt;"")</formula>
    </cfRule>
    <cfRule type="expression" dxfId="333" priority="818">
      <formula>AND(S$13="Salida",#REF!&lt;&gt;"")</formula>
    </cfRule>
  </conditionalFormatting>
  <conditionalFormatting sqref="S173:T174">
    <cfRule type="expression" dxfId="332" priority="692">
      <formula>AND(OR(S$13="Salida",S$13="Entrada"),#REF!="")</formula>
    </cfRule>
    <cfRule type="expression" dxfId="331" priority="690">
      <formula>AND(S$13="Salida",#REF!&lt;&gt;"")</formula>
    </cfRule>
    <cfRule type="expression" dxfId="330" priority="691">
      <formula>AND(S$13="Entrada",#REF!&lt;&gt;"")</formula>
    </cfRule>
  </conditionalFormatting>
  <conditionalFormatting sqref="S182:T182">
    <cfRule type="expression" dxfId="329" priority="628">
      <formula>AND(OR(S$13="Salida",S$13="Entrada"),#REF!="")</formula>
    </cfRule>
  </conditionalFormatting>
  <conditionalFormatting sqref="S182:T183">
    <cfRule type="expression" dxfId="328" priority="362">
      <formula>AND(S$13="Entrada",#REF!&lt;&gt;"")</formula>
    </cfRule>
    <cfRule type="expression" dxfId="327" priority="361">
      <formula>AND(S$13="Salida",#REF!&lt;&gt;"")</formula>
    </cfRule>
  </conditionalFormatting>
  <conditionalFormatting sqref="S191:T192">
    <cfRule type="expression" dxfId="326" priority="564">
      <formula>AND(OR(S$13="Salida",S$13="Entrada"),#REF!="")</formula>
    </cfRule>
    <cfRule type="expression" dxfId="325" priority="563">
      <formula>AND(S$13="Entrada",#REF!&lt;&gt;"")</formula>
    </cfRule>
    <cfRule type="expression" dxfId="324" priority="562">
      <formula>AND(S$13="Salida",#REF!&lt;&gt;"")</formula>
    </cfRule>
  </conditionalFormatting>
  <conditionalFormatting sqref="S200:T201">
    <cfRule type="expression" dxfId="323" priority="343">
      <formula>AND(S$13="Salida",#REF!&lt;&gt;"")</formula>
    </cfRule>
    <cfRule type="expression" dxfId="322" priority="344">
      <formula>AND(S$13="Entrada",#REF!&lt;&gt;"")</formula>
    </cfRule>
    <cfRule type="expression" dxfId="321" priority="345">
      <formula>AND(OR(S$13="Salida",S$13="Entrada"),#REF!="")</formula>
    </cfRule>
  </conditionalFormatting>
  <conditionalFormatting sqref="S183:W183">
    <cfRule type="expression" dxfId="320" priority="363">
      <formula>AND(OR(S$13="Salida",S$13="Entrada"),#REF!="")</formula>
    </cfRule>
  </conditionalFormatting>
  <conditionalFormatting sqref="T52">
    <cfRule type="expression" dxfId="319" priority="2299">
      <formula>AND(#REF!="Entrada",#REF!&lt;&gt;"")</formula>
    </cfRule>
    <cfRule type="expression" dxfId="318" priority="2298">
      <formula>AND(#REF!="Salida",#REF!&lt;&gt;"")</formula>
    </cfRule>
    <cfRule type="expression" dxfId="317" priority="2297">
      <formula>AND(OR(#REF!="Salida",#REF!="Entrada"),#REF!="")</formula>
    </cfRule>
  </conditionalFormatting>
  <conditionalFormatting sqref="T61">
    <cfRule type="expression" dxfId="316" priority="1790">
      <formula>AND(#REF!="Entrada",#REF!&lt;&gt;"")</formula>
    </cfRule>
    <cfRule type="expression" dxfId="315" priority="1788">
      <formula>AND(OR(#REF!="Salida",#REF!="Entrada"),#REF!="")</formula>
    </cfRule>
    <cfRule type="expression" dxfId="314" priority="1789">
      <formula>AND(#REF!="Salida",#REF!&lt;&gt;"")</formula>
    </cfRule>
  </conditionalFormatting>
  <conditionalFormatting sqref="U97:V97">
    <cfRule type="expression" dxfId="313" priority="1019">
      <formula>AND(OR(U$10="Salida",U$10="Entrada"),#REF!="")</formula>
    </cfRule>
    <cfRule type="expression" dxfId="312" priority="1021">
      <formula>AND(U$10="Entrada",#REF!&lt;&gt;"")</formula>
    </cfRule>
    <cfRule type="expression" dxfId="311" priority="1020">
      <formula>AND(U$10="Salida",#REF!&lt;&gt;"")</formula>
    </cfRule>
  </conditionalFormatting>
  <conditionalFormatting sqref="U114:V115">
    <cfRule type="expression" dxfId="310" priority="998">
      <formula>AND(OR(U$10="Salida",U$10="Entrada"),#REF!="")</formula>
    </cfRule>
    <cfRule type="expression" dxfId="309" priority="999">
      <formula>AND(U$10="Salida",#REF!&lt;&gt;"")</formula>
    </cfRule>
    <cfRule type="expression" dxfId="308" priority="1000">
      <formula>AND(U$10="Entrada",#REF!&lt;&gt;"")</formula>
    </cfRule>
  </conditionalFormatting>
  <conditionalFormatting sqref="U123:V123">
    <cfRule type="expression" dxfId="307" priority="1009">
      <formula>AND(U$10="Entrada",#REF!&lt;&gt;"")</formula>
    </cfRule>
    <cfRule type="expression" dxfId="306" priority="1007">
      <formula>AND(OR(U$10="Salida",U$10="Entrada"),#REF!="")</formula>
    </cfRule>
    <cfRule type="expression" dxfId="305" priority="1008">
      <formula>AND(U$10="Salida",#REF!&lt;&gt;"")</formula>
    </cfRule>
  </conditionalFormatting>
  <conditionalFormatting sqref="U156:V156">
    <cfRule type="expression" dxfId="304" priority="727">
      <formula>AND(U$10="Salida",#REF!&lt;&gt;"")</formula>
    </cfRule>
    <cfRule type="expression" dxfId="303" priority="726">
      <formula>AND(OR(U$10="Salida",U$10="Entrada"),#REF!="")</formula>
    </cfRule>
    <cfRule type="expression" dxfId="302" priority="728">
      <formula>AND(U$10="Entrada",#REF!&lt;&gt;"")</formula>
    </cfRule>
  </conditionalFormatting>
  <conditionalFormatting sqref="U159:W162">
    <cfRule type="expression" dxfId="301" priority="746">
      <formula>AND(OR(U$13="Salida",U$13="Entrada"),#REF!="")</formula>
    </cfRule>
  </conditionalFormatting>
  <conditionalFormatting sqref="U165:W165">
    <cfRule type="expression" dxfId="300" priority="759">
      <formula>AND(U$13="Entrada",#REF!&lt;&gt;"")</formula>
    </cfRule>
    <cfRule type="expression" dxfId="299" priority="760">
      <formula>AND(U$13="Salida",#REF!&lt;&gt;"")</formula>
    </cfRule>
    <cfRule type="expression" dxfId="298" priority="758">
      <formula>AND(OR(U$13="Salida",U$13="Entrada"),#REF!="")</formula>
    </cfRule>
  </conditionalFormatting>
  <conditionalFormatting sqref="U174:W174">
    <cfRule type="expression" dxfId="297" priority="668">
      <formula>AND(U$13="Entrada",#REF!&lt;&gt;"")</formula>
    </cfRule>
    <cfRule type="expression" dxfId="296" priority="667">
      <formula>AND(OR(U$13="Salida",U$13="Entrada"),#REF!="")</formula>
    </cfRule>
    <cfRule type="expression" dxfId="295" priority="669">
      <formula>AND(U$13="Salida",#REF!&lt;&gt;"")</formula>
    </cfRule>
  </conditionalFormatting>
  <conditionalFormatting sqref="U177:W182">
    <cfRule type="expression" dxfId="294" priority="172">
      <formula>AND(OR(U$13="Salida",U$13="Entrada"),#REF!="")</formula>
    </cfRule>
  </conditionalFormatting>
  <conditionalFormatting sqref="U181:W182">
    <cfRule type="expression" dxfId="293" priority="175">
      <formula>AND(U$13="Salida",#REF!&lt;&gt;"")</formula>
    </cfRule>
    <cfRule type="expression" dxfId="292" priority="174">
      <formula>AND(U$13="Entrada",#REF!&lt;&gt;"")</formula>
    </cfRule>
  </conditionalFormatting>
  <conditionalFormatting sqref="U183:W183">
    <cfRule type="expression" dxfId="291" priority="605">
      <formula>AND(U$13="Salida",#REF!&lt;&gt;"")</formula>
    </cfRule>
    <cfRule type="expression" dxfId="290" priority="604">
      <formula>AND(U$13="Entrada",#REF!&lt;&gt;"")</formula>
    </cfRule>
  </conditionalFormatting>
  <conditionalFormatting sqref="U192:W192">
    <cfRule type="expression" dxfId="289" priority="540">
      <formula>AND(U$13="Entrada",#REF!&lt;&gt;"")</formula>
    </cfRule>
    <cfRule type="expression" dxfId="288" priority="539">
      <formula>AND(OR(U$13="Salida",U$13="Entrada"),#REF!="")</formula>
    </cfRule>
    <cfRule type="expression" dxfId="287" priority="541">
      <formula>AND(U$13="Salida",#REF!&lt;&gt;"")</formula>
    </cfRule>
  </conditionalFormatting>
  <conditionalFormatting sqref="U195:W201">
    <cfRule type="expression" dxfId="286" priority="163">
      <formula>AND(U$13="Salida",#REF!&lt;&gt;"")</formula>
    </cfRule>
    <cfRule type="expression" dxfId="285" priority="162">
      <formula>AND(U$13="Entrada",#REF!&lt;&gt;"")</formula>
    </cfRule>
    <cfRule type="expression" dxfId="284" priority="160">
      <formula>AND(OR(U$13="Salida",U$13="Entrada"),#REF!="")</formula>
    </cfRule>
  </conditionalFormatting>
  <conditionalFormatting sqref="U168:Z172">
    <cfRule type="expression" dxfId="283" priority="309">
      <formula>AND(OR(U$13="Salida",U$13="Entrada"),#REF!="")</formula>
    </cfRule>
  </conditionalFormatting>
  <conditionalFormatting sqref="V156">
    <cfRule type="expression" dxfId="282" priority="729">
      <formula>AND(V$13="Salida",#REF!&lt;&gt;"")</formula>
    </cfRule>
    <cfRule type="expression" dxfId="281" priority="730">
      <formula>AND(V$13="Entrada",#REF!&lt;&gt;"")</formula>
    </cfRule>
    <cfRule type="expression" dxfId="280" priority="731">
      <formula>AND(OR(V$13="Salida",V$13="Entrada"),#REF!="")</formula>
    </cfRule>
  </conditionalFormatting>
  <conditionalFormatting sqref="V97:W97">
    <cfRule type="expression" dxfId="279" priority="1023">
      <formula>AND(V$13="Entrada",#REF!&lt;&gt;"")</formula>
    </cfRule>
    <cfRule type="expression" dxfId="278" priority="1024">
      <formula>AND(OR(V$13="Salida",V$13="Entrada"),#REF!="")</formula>
    </cfRule>
    <cfRule type="expression" dxfId="277" priority="1022">
      <formula>AND(V$13="Salida",#REF!&lt;&gt;"")</formula>
    </cfRule>
  </conditionalFormatting>
  <conditionalFormatting sqref="V114:W115">
    <cfRule type="expression" dxfId="276" priority="1001">
      <formula>AND(V$13="Salida",#REF!&lt;&gt;"")</formula>
    </cfRule>
    <cfRule type="expression" dxfId="275" priority="1002">
      <formula>AND(V$13="Entrada",#REF!&lt;&gt;"")</formula>
    </cfRule>
    <cfRule type="expression" dxfId="274" priority="1003">
      <formula>AND(OR(V$13="Salida",V$13="Entrada"),#REF!="")</formula>
    </cfRule>
  </conditionalFormatting>
  <conditionalFormatting sqref="V123:W123">
    <cfRule type="expression" dxfId="273" priority="1012">
      <formula>AND(OR(V$13="Salida",V$13="Entrada"),#REF!="")</formula>
    </cfRule>
    <cfRule type="expression" dxfId="272" priority="1010">
      <formula>AND(V$13="Salida",#REF!&lt;&gt;"")</formula>
    </cfRule>
    <cfRule type="expression" dxfId="271" priority="1011">
      <formula>AND(V$13="Entrada",#REF!&lt;&gt;"")</formula>
    </cfRule>
  </conditionalFormatting>
  <conditionalFormatting sqref="W51 W60 W69 E71 E80 E89 E98 E107 E116 E125 E134 E53 E62">
    <cfRule type="expression" dxfId="270" priority="12855">
      <formula>AND(E$13="Entrada",#REF!&lt;&gt;"")</formula>
    </cfRule>
  </conditionalFormatting>
  <conditionalFormatting sqref="X106:Y106">
    <cfRule type="expression" dxfId="269" priority="1068">
      <formula>AND(X$10="Salida",#REF!&lt;&gt;"")</formula>
    </cfRule>
    <cfRule type="expression" dxfId="268" priority="1067">
      <formula>AND(OR(X$10="Salida",X$10="Entrada"),#REF!="")</formula>
    </cfRule>
    <cfRule type="expression" dxfId="267" priority="1069">
      <formula>AND(X$10="Entrada",#REF!&lt;&gt;"")</formula>
    </cfRule>
  </conditionalFormatting>
  <conditionalFormatting sqref="X124:Y124">
    <cfRule type="expression" dxfId="266" priority="1043">
      <formula>AND(OR(X$10="Salida",X$10="Entrada"),#REF!="")</formula>
    </cfRule>
    <cfRule type="expression" dxfId="265" priority="1044">
      <formula>AND(X$10="Salida",#REF!&lt;&gt;"")</formula>
    </cfRule>
    <cfRule type="expression" dxfId="264" priority="1045">
      <formula>AND(X$10="Entrada",#REF!&lt;&gt;"")</formula>
    </cfRule>
  </conditionalFormatting>
  <conditionalFormatting sqref="X140:Y141">
    <cfRule type="expression" dxfId="263" priority="764">
      <formula>AND(OR(X$10="Salida",X$10="Entrada"),#REF!="")</formula>
    </cfRule>
    <cfRule type="expression" dxfId="262" priority="765">
      <formula>AND(X$10="Salida",#REF!&lt;&gt;"")</formula>
    </cfRule>
    <cfRule type="expression" dxfId="261" priority="766">
      <formula>AND(X$10="Entrada",#REF!&lt;&gt;"")</formula>
    </cfRule>
  </conditionalFormatting>
  <conditionalFormatting sqref="X157:Y157">
    <cfRule type="expression" dxfId="260" priority="805">
      <formula>AND(X$10="Entrada",#REF!&lt;&gt;"")</formula>
    </cfRule>
    <cfRule type="expression" dxfId="259" priority="804">
      <formula>AND(X$10="Salida",#REF!&lt;&gt;"")</formula>
    </cfRule>
    <cfRule type="expression" dxfId="258" priority="803">
      <formula>AND(OR(X$10="Salida",X$10="Entrada"),#REF!="")</formula>
    </cfRule>
  </conditionalFormatting>
  <conditionalFormatting sqref="X174:Y174">
    <cfRule type="expression" dxfId="257" priority="370">
      <formula>AND(OR(X$10="Salida",X$10="Entrada"),#REF!="")</formula>
    </cfRule>
    <cfRule type="expression" dxfId="256" priority="372">
      <formula>AND(X$10="Entrada",#REF!&lt;&gt;"")</formula>
    </cfRule>
    <cfRule type="expression" dxfId="255" priority="371">
      <formula>AND(X$10="Salida",#REF!&lt;&gt;"")</formula>
    </cfRule>
  </conditionalFormatting>
  <conditionalFormatting sqref="X192:Y192">
    <cfRule type="expression" dxfId="254" priority="346">
      <formula>AND(OR(X$10="Salida",X$10="Entrada"),#REF!="")</formula>
    </cfRule>
    <cfRule type="expression" dxfId="253" priority="347">
      <formula>AND(X$10="Salida",#REF!&lt;&gt;"")</formula>
    </cfRule>
    <cfRule type="expression" dxfId="252" priority="348">
      <formula>AND(X$10="Entrada",#REF!&lt;&gt;"")</formula>
    </cfRule>
  </conditionalFormatting>
  <conditionalFormatting sqref="X181:Z181">
    <cfRule type="expression" dxfId="251" priority="288">
      <formula>AND(X$13="Salida",#REF!&lt;&gt;"")</formula>
    </cfRule>
    <cfRule type="expression" dxfId="250" priority="286">
      <formula>AND(OR(X$13="Salida",X$13="Entrada"),#REF!="")</formula>
    </cfRule>
    <cfRule type="expression" dxfId="249" priority="287">
      <formula>AND(X$13="Entrada",#REF!&lt;&gt;"")</formula>
    </cfRule>
  </conditionalFormatting>
  <conditionalFormatting sqref="X195:Z197 H202:K202 N202">
    <cfRule type="expression" dxfId="248" priority="533">
      <formula>AND(H$13="Salida",#REF!&lt;&gt;"")</formula>
    </cfRule>
  </conditionalFormatting>
  <conditionalFormatting sqref="X4:AB22 R4:W38 AD7:AF9 AC10:AC14 AD15:AF17 X23:Z24 AD23:AF25 X25:AB38 AD31:AF33 X39:Z39 AA40:AB40">
    <cfRule type="expression" dxfId="247" priority="12877">
      <formula>AND(OR(R$13="Salida",R$13="Entrada"),#REF!="")</formula>
    </cfRule>
    <cfRule type="expression" dxfId="246" priority="12878">
      <formula>AND(R$13="Salida",#REF!&lt;&gt;"")</formula>
    </cfRule>
  </conditionalFormatting>
  <conditionalFormatting sqref="X168:AC172">
    <cfRule type="expression" dxfId="245" priority="310">
      <formula>AND(X$13="Entrada",#REF!&lt;&gt;"")</formula>
    </cfRule>
    <cfRule type="expression" dxfId="244" priority="311">
      <formula>AND(X$13="Salida",#REF!&lt;&gt;"")</formula>
    </cfRule>
  </conditionalFormatting>
  <conditionalFormatting sqref="Y106:Z106">
    <cfRule type="expression" dxfId="243" priority="1070">
      <formula>AND(Y$13="Salida",#REF!&lt;&gt;"")</formula>
    </cfRule>
    <cfRule type="expression" dxfId="242" priority="1072">
      <formula>AND(OR(Y$13="Salida",Y$13="Entrada"),#REF!="")</formula>
    </cfRule>
    <cfRule type="expression" dxfId="241" priority="1071">
      <formula>AND(Y$13="Entrada",#REF!&lt;&gt;"")</formula>
    </cfRule>
  </conditionalFormatting>
  <conditionalFormatting sqref="Y124:Z124">
    <cfRule type="expression" dxfId="240" priority="1048">
      <formula>AND(OR(Y$13="Salida",Y$13="Entrada"),#REF!="")</formula>
    </cfRule>
    <cfRule type="expression" dxfId="239" priority="1046">
      <formula>AND(Y$13="Salida",#REF!&lt;&gt;"")</formula>
    </cfRule>
    <cfRule type="expression" dxfId="238" priority="1047">
      <formula>AND(Y$13="Entrada",#REF!&lt;&gt;"")</formula>
    </cfRule>
  </conditionalFormatting>
  <conditionalFormatting sqref="Y140:Z141">
    <cfRule type="expression" dxfId="237" priority="768">
      <formula>AND(Y$13="Entrada",#REF!&lt;&gt;"")</formula>
    </cfRule>
    <cfRule type="expression" dxfId="236" priority="769">
      <formula>AND(OR(Y$13="Salida",Y$13="Entrada"),#REF!="")</formula>
    </cfRule>
    <cfRule type="expression" dxfId="235" priority="767">
      <formula>AND(Y$13="Salida",#REF!&lt;&gt;"")</formula>
    </cfRule>
  </conditionalFormatting>
  <conditionalFormatting sqref="Y149:Z149 Q150">
    <cfRule type="expression" dxfId="234" priority="959">
      <formula>AND(Q$13="Salida",#REF!&lt;&gt;"")</formula>
    </cfRule>
    <cfRule type="expression" dxfId="233" priority="960">
      <formula>AND(Q$13="Entrada",#REF!&lt;&gt;"")</formula>
    </cfRule>
  </conditionalFormatting>
  <conditionalFormatting sqref="Y157:Z157">
    <cfRule type="expression" dxfId="232" priority="806">
      <formula>AND(Y$13="Salida",#REF!&lt;&gt;"")</formula>
    </cfRule>
    <cfRule type="expression" dxfId="231" priority="808">
      <formula>AND(OR(Y$13="Salida",Y$13="Entrada"),#REF!="")</formula>
    </cfRule>
    <cfRule type="expression" dxfId="230" priority="807">
      <formula>AND(Y$13="Entrada",#REF!&lt;&gt;"")</formula>
    </cfRule>
  </conditionalFormatting>
  <conditionalFormatting sqref="Y165:Z165 Q166">
    <cfRule type="expression" dxfId="229" priority="899">
      <formula>AND(Q$13="Salida",#REF!&lt;&gt;"")</formula>
    </cfRule>
    <cfRule type="expression" dxfId="228" priority="900">
      <formula>AND(Q$13="Entrada",#REF!&lt;&gt;"")</formula>
    </cfRule>
  </conditionalFormatting>
  <conditionalFormatting sqref="Y174:Z174">
    <cfRule type="expression" dxfId="227" priority="375">
      <formula>AND(OR(Y$13="Salida",Y$13="Entrada"),#REF!="")</formula>
    </cfRule>
    <cfRule type="expression" dxfId="226" priority="373">
      <formula>AND(Y$13="Salida",#REF!&lt;&gt;"")</formula>
    </cfRule>
    <cfRule type="expression" dxfId="225" priority="374">
      <formula>AND(Y$13="Entrada",#REF!&lt;&gt;"")</formula>
    </cfRule>
  </conditionalFormatting>
  <conditionalFormatting sqref="Y183:Z183 Q184">
    <cfRule type="expression" dxfId="224" priority="647">
      <formula>AND(Q$13="Salida",#REF!&lt;&gt;"")</formula>
    </cfRule>
    <cfRule type="expression" dxfId="223" priority="648">
      <formula>AND(Q$13="Entrada",#REF!&lt;&gt;"")</formula>
    </cfRule>
  </conditionalFormatting>
  <conditionalFormatting sqref="Y192:Z192">
    <cfRule type="expression" dxfId="222" priority="350">
      <formula>AND(Y$13="Entrada",#REF!&lt;&gt;"")</formula>
    </cfRule>
    <cfRule type="expression" dxfId="221" priority="351">
      <formula>AND(OR(Y$13="Salida",Y$13="Entrada"),#REF!="")</formula>
    </cfRule>
    <cfRule type="expression" dxfId="220" priority="349">
      <formula>AND(Y$13="Salida",#REF!&lt;&gt;"")</formula>
    </cfRule>
  </conditionalFormatting>
  <conditionalFormatting sqref="Y201:Z201 Q202">
    <cfRule type="expression" dxfId="219" priority="519">
      <formula>AND(Q$13="Salida",#REF!&lt;&gt;"")</formula>
    </cfRule>
    <cfRule type="expression" dxfId="218" priority="520">
      <formula>AND(Q$13="Entrada",#REF!&lt;&gt;"")</formula>
    </cfRule>
  </conditionalFormatting>
  <conditionalFormatting sqref="AA24:AB24 Q18 Q26:Q27 O32:Q32 Q34:Q35 Q41">
    <cfRule type="expression" dxfId="217" priority="12612">
      <formula>AND(O$13="Salida",#REF!&lt;&gt;"")</formula>
    </cfRule>
  </conditionalFormatting>
  <conditionalFormatting sqref="AA24:AB24">
    <cfRule type="expression" dxfId="216" priority="12611">
      <formula>AND(OR(AA$13="Salida",AA$13="Entrada"),#REF!="")</formula>
    </cfRule>
  </conditionalFormatting>
  <conditionalFormatting sqref="AA135:AC140 C142:D142 T142 W142 Z142">
    <cfRule type="expression" dxfId="215" priority="991">
      <formula>AND(C$13="Entrada",#REF!&lt;&gt;"")</formula>
    </cfRule>
  </conditionalFormatting>
  <conditionalFormatting sqref="AA135:AC140 C142:E142 T142 W142 Z142 E135:E140 Q142">
    <cfRule type="expression" dxfId="214" priority="996">
      <formula>AND(OR(C$13="Salida",C$13="Entrada"),#REF!="")</formula>
    </cfRule>
  </conditionalFormatting>
  <conditionalFormatting sqref="AA135:AC140 C142:E142 T142 W142 Z142">
    <cfRule type="expression" dxfId="213" priority="992">
      <formula>AND(C$13="Salida",#REF!&lt;&gt;"")</formula>
    </cfRule>
  </conditionalFormatting>
  <conditionalFormatting sqref="AA143:AC148">
    <cfRule type="expression" dxfId="212" priority="749">
      <formula>AND(AA$13="Entrada",#REF!&lt;&gt;"")</formula>
    </cfRule>
    <cfRule type="expression" dxfId="211" priority="750">
      <formula>AND(AA$13="Salida",#REF!&lt;&gt;"")</formula>
    </cfRule>
    <cfRule type="expression" dxfId="210" priority="751">
      <formula>AND(OR(AA$13="Salida",AA$13="Entrada"),#REF!="")</formula>
    </cfRule>
  </conditionalFormatting>
  <conditionalFormatting sqref="AA151:AC156 C158:D158 T158 W158 Z158">
    <cfRule type="expression" dxfId="209" priority="931">
      <formula>AND(C$13="Entrada",#REF!&lt;&gt;"")</formula>
    </cfRule>
  </conditionalFormatting>
  <conditionalFormatting sqref="AA151:AC156 C158:E158 T158 W158 Z158 Q158">
    <cfRule type="expression" dxfId="208" priority="936">
      <formula>AND(OR(C$13="Salida",C$13="Entrada"),#REF!="")</formula>
    </cfRule>
  </conditionalFormatting>
  <conditionalFormatting sqref="AA151:AC156 C158:E158 T158 W158 Z158">
    <cfRule type="expression" dxfId="207" priority="932">
      <formula>AND(C$13="Salida",#REF!&lt;&gt;"")</formula>
    </cfRule>
  </conditionalFormatting>
  <conditionalFormatting sqref="AA159:AC162">
    <cfRule type="expression" dxfId="206" priority="744">
      <formula>AND(AA$13="Entrada",#REF!&lt;&gt;"")</formula>
    </cfRule>
    <cfRule type="expression" dxfId="205" priority="745">
      <formula>AND(AA$13="Salida",#REF!&lt;&gt;"")</formula>
    </cfRule>
  </conditionalFormatting>
  <conditionalFormatting sqref="AA159:AC164">
    <cfRule type="expression" dxfId="204" priority="802">
      <formula>AND(AA$13="Salida",#REF!&lt;&gt;"")</formula>
    </cfRule>
    <cfRule type="expression" dxfId="203" priority="801">
      <formula>AND(AA$13="Entrada",#REF!&lt;&gt;"")</formula>
    </cfRule>
  </conditionalFormatting>
  <conditionalFormatting sqref="AA168:AC173">
    <cfRule type="expression" dxfId="202" priority="686">
      <formula>AND(AA$13="Salida",#REF!&lt;&gt;"")</formula>
    </cfRule>
    <cfRule type="expression" dxfId="201" priority="685">
      <formula>AND(AA$13="Entrada",#REF!&lt;&gt;"")</formula>
    </cfRule>
  </conditionalFormatting>
  <conditionalFormatting sqref="AA172:AC172 F172:H172">
    <cfRule type="expression" dxfId="200" priority="682">
      <formula>AND(OR(F$13="Salida",F$13="Entrada"),#REF!="")</formula>
    </cfRule>
  </conditionalFormatting>
  <conditionalFormatting sqref="AA177:AC179">
    <cfRule type="expression" dxfId="199" priority="285">
      <formula>AND(AA$13="Salida",#REF!&lt;&gt;"")</formula>
    </cfRule>
    <cfRule type="expression" dxfId="198" priority="284">
      <formula>AND(AA$13="Entrada",#REF!&lt;&gt;"")</formula>
    </cfRule>
  </conditionalFormatting>
  <conditionalFormatting sqref="AA180:AC181">
    <cfRule type="expression" dxfId="197" priority="280">
      <formula>AND(OR(AA$13="Salida",AA$13="Entrada"),#REF!="")</formula>
    </cfRule>
  </conditionalFormatting>
  <conditionalFormatting sqref="AA180:AC182">
    <cfRule type="expression" dxfId="196" priority="281">
      <formula>AND(AA$13="Entrada",#REF!&lt;&gt;"")</formula>
    </cfRule>
    <cfRule type="expression" dxfId="195" priority="282">
      <formula>AND(AA$13="Salida",#REF!&lt;&gt;"")</formula>
    </cfRule>
  </conditionalFormatting>
  <conditionalFormatting sqref="AA186:AC187">
    <cfRule type="expression" dxfId="194" priority="257">
      <formula>AND(AA$13="Salida",#REF!&lt;&gt;"")</formula>
    </cfRule>
    <cfRule type="expression" dxfId="193" priority="258">
      <formula>AND(OR(AA$13="Salida",AA$13="Entrada"),#REF!="")</formula>
    </cfRule>
    <cfRule type="expression" dxfId="192" priority="256">
      <formula>AND(AA$13="Entrada",#REF!&lt;&gt;"")</formula>
    </cfRule>
  </conditionalFormatting>
  <conditionalFormatting sqref="AA186:AC189">
    <cfRule type="expression" dxfId="191" priority="251">
      <formula>AND(AA$13="Entrada",#REF!&lt;&gt;"")</formula>
    </cfRule>
    <cfRule type="expression" dxfId="190" priority="252">
      <formula>AND(AA$13="Salida",#REF!&lt;&gt;"")</formula>
    </cfRule>
  </conditionalFormatting>
  <conditionalFormatting sqref="AA188:AC188">
    <cfRule type="expression" dxfId="189" priority="253">
      <formula>AND(OR(AA$13="Salida",AA$13="Entrada"),#REF!="")</formula>
    </cfRule>
    <cfRule type="expression" dxfId="188" priority="250">
      <formula>AND(AA$13="Salida",#REF!&lt;&gt;"")</formula>
    </cfRule>
    <cfRule type="expression" dxfId="187" priority="249">
      <formula>AND(AA$13="Entrada",#REF!&lt;&gt;"")</formula>
    </cfRule>
  </conditionalFormatting>
  <conditionalFormatting sqref="AA189:AC189">
    <cfRule type="expression" dxfId="186" priority="558">
      <formula>AND(AA$13="Salida",#REF!&lt;&gt;"")</formula>
    </cfRule>
    <cfRule type="expression" dxfId="185" priority="557">
      <formula>AND(AA$13="Entrada",#REF!&lt;&gt;"")</formula>
    </cfRule>
  </conditionalFormatting>
  <conditionalFormatting sqref="AA190:AC190">
    <cfRule type="expression" dxfId="184" priority="244">
      <formula>AND(AA$13="Entrada",#REF!&lt;&gt;"")</formula>
    </cfRule>
    <cfRule type="expression" dxfId="183" priority="245">
      <formula>AND(AA$13="Salida",#REF!&lt;&gt;"")</formula>
    </cfRule>
  </conditionalFormatting>
  <conditionalFormatting sqref="AA190:AC191">
    <cfRule type="expression" dxfId="182" priority="247">
      <formula>AND(AA$13="Salida",#REF!&lt;&gt;"")</formula>
    </cfRule>
    <cfRule type="expression" dxfId="181" priority="246">
      <formula>AND(AA$13="Entrada",#REF!&lt;&gt;"")</formula>
    </cfRule>
    <cfRule type="expression" dxfId="180" priority="248">
      <formula>AND(OR(AA$13="Salida",AA$13="Entrada"),#REF!="")</formula>
    </cfRule>
  </conditionalFormatting>
  <conditionalFormatting sqref="AA195:AC200">
    <cfRule type="expression" dxfId="179" priority="185">
      <formula>AND(AA$13="Salida",#REF!&lt;&gt;"")</formula>
    </cfRule>
    <cfRule type="expression" dxfId="178" priority="184">
      <formula>AND(AA$13="Entrada",#REF!&lt;&gt;"")</formula>
    </cfRule>
  </conditionalFormatting>
  <conditionalFormatting sqref="AA196:AC199">
    <cfRule type="expression" dxfId="177" priority="183">
      <formula>AND(AA$13="Salida",#REF!&lt;&gt;"")</formula>
    </cfRule>
    <cfRule type="expression" dxfId="176" priority="182">
      <formula>AND(AA$13="Entrada",#REF!&lt;&gt;"")</formula>
    </cfRule>
  </conditionalFormatting>
  <conditionalFormatting sqref="AA196:AC200">
    <cfRule type="expression" dxfId="175" priority="186">
      <formula>AND(OR(AA$13="Salida",AA$13="Entrada"),#REF!="")</formula>
    </cfRule>
  </conditionalFormatting>
  <conditionalFormatting sqref="AC51">
    <cfRule type="expression" dxfId="174" priority="2286">
      <formula>AND(#REF!="Salida",#REF!&lt;&gt;"")</formula>
    </cfRule>
    <cfRule type="expression" dxfId="173" priority="2287">
      <formula>AND(#REF!="Entrada",#REF!&lt;&gt;"")</formula>
    </cfRule>
    <cfRule type="expression" dxfId="172" priority="2285">
      <formula>AND(OR(#REF!="Salida",#REF!="Entrada"),#REF!="")</formula>
    </cfRule>
  </conditionalFormatting>
  <conditionalFormatting sqref="AC60">
    <cfRule type="expression" dxfId="171" priority="1779">
      <formula>AND(OR(#REF!="Salida",#REF!="Entrada"),#REF!="")</formula>
    </cfRule>
    <cfRule type="expression" dxfId="170" priority="1780">
      <formula>AND(#REF!="Salida",#REF!&lt;&gt;"")</formula>
    </cfRule>
    <cfRule type="expression" dxfId="169" priority="1781">
      <formula>AND(#REF!="Entrada",#REF!&lt;&gt;"")</formula>
    </cfRule>
  </conditionalFormatting>
  <conditionalFormatting sqref="AD135:AE139">
    <cfRule type="expression" dxfId="168" priority="994">
      <formula>AND(AD$11="Salida",#REF!&lt;&gt;"")</formula>
    </cfRule>
    <cfRule type="expression" dxfId="167" priority="993">
      <formula>AND(OR(AD$11="Salida",AD$11="Entrada"),#REF!="")</formula>
    </cfRule>
    <cfRule type="expression" dxfId="166" priority="995">
      <formula>AND(AD$11="Entrada",#REF!&lt;&gt;"")</formula>
    </cfRule>
  </conditionalFormatting>
  <conditionalFormatting sqref="AD143:AE147">
    <cfRule type="expression" dxfId="165" priority="859">
      <formula>AND(AD$11="Entrada",#REF!&lt;&gt;"")</formula>
    </cfRule>
    <cfRule type="expression" dxfId="164" priority="858">
      <formula>AND(AD$11="Salida",#REF!&lt;&gt;"")</formula>
    </cfRule>
    <cfRule type="expression" dxfId="163" priority="857">
      <formula>AND(OR(AD$11="Salida",AD$11="Entrada"),#REF!="")</formula>
    </cfRule>
  </conditionalFormatting>
  <conditionalFormatting sqref="AD151:AE155">
    <cfRule type="expression" dxfId="162" priority="856">
      <formula>AND(AD$11="Entrada",#REF!&lt;&gt;"")</formula>
    </cfRule>
    <cfRule type="expression" dxfId="161" priority="855">
      <formula>AND(AD$11="Salida",#REF!&lt;&gt;"")</formula>
    </cfRule>
    <cfRule type="expression" dxfId="160" priority="854">
      <formula>AND(OR(AD$11="Salida",AD$11="Entrada"),#REF!="")</formula>
    </cfRule>
  </conditionalFormatting>
  <conditionalFormatting sqref="AD159:AE163">
    <cfRule type="expression" dxfId="159" priority="851">
      <formula>AND(OR(AD$11="Salida",AD$11="Entrada"),#REF!="")</formula>
    </cfRule>
    <cfRule type="expression" dxfId="158" priority="852">
      <formula>AND(AD$11="Salida",#REF!&lt;&gt;"")</formula>
    </cfRule>
    <cfRule type="expression" dxfId="157" priority="853">
      <formula>AND(AD$11="Entrada",#REF!&lt;&gt;"")</formula>
    </cfRule>
  </conditionalFormatting>
  <conditionalFormatting sqref="AD168:AE172">
    <cfRule type="expression" dxfId="156" priority="158">
      <formula>AND(AD$11="Salida",#REF!&lt;&gt;"")</formula>
    </cfRule>
    <cfRule type="expression" dxfId="155" priority="159">
      <formula>AND(AD$11="Entrada",#REF!&lt;&gt;"")</formula>
    </cfRule>
    <cfRule type="expression" dxfId="154" priority="157">
      <formula>AND(OR(AD$11="Salida",AD$11="Entrada"),#REF!="")</formula>
    </cfRule>
  </conditionalFormatting>
  <conditionalFormatting sqref="AD177:AE181">
    <cfRule type="expression" dxfId="153" priority="154">
      <formula>AND(OR(AD$11="Salida",AD$11="Entrada"),#REF!="")</formula>
    </cfRule>
    <cfRule type="expression" dxfId="152" priority="155">
      <formula>AND(AD$11="Salida",#REF!&lt;&gt;"")</formula>
    </cfRule>
    <cfRule type="expression" dxfId="151" priority="156">
      <formula>AND(AD$11="Entrada",#REF!&lt;&gt;"")</formula>
    </cfRule>
  </conditionalFormatting>
  <conditionalFormatting sqref="AD186:AE190">
    <cfRule type="expression" dxfId="150" priority="143">
      <formula>AND(AD$11="Salida",#REF!&lt;&gt;"")</formula>
    </cfRule>
    <cfRule type="expression" dxfId="149" priority="144">
      <formula>AND(AD$11="Entrada",#REF!&lt;&gt;"")</formula>
    </cfRule>
    <cfRule type="expression" dxfId="148" priority="142">
      <formula>AND(OR(AD$11="Salida",AD$11="Entrada"),#REF!="")</formula>
    </cfRule>
  </conditionalFormatting>
  <conditionalFormatting sqref="AD195:AE199">
    <cfRule type="expression" dxfId="147" priority="148">
      <formula>AND(OR(AD$11="Salida",AD$11="Entrada"),#REF!="")</formula>
    </cfRule>
    <cfRule type="expression" dxfId="146" priority="149">
      <formula>AND(AD$11="Salida",#REF!&lt;&gt;"")</formula>
    </cfRule>
    <cfRule type="expression" dxfId="145" priority="150">
      <formula>AND(AD$11="Entrada",#REF!&lt;&gt;"")</formula>
    </cfRule>
  </conditionalFormatting>
  <conditionalFormatting sqref="C206:D211">
    <cfRule type="expression" dxfId="139" priority="117">
      <formula>AND(OR(C$10="Salida",C$10="Entrada"),#REF!="")</formula>
    </cfRule>
    <cfRule type="expression" dxfId="140" priority="118">
      <formula>AND(C$10="Salida",#REF!&lt;&gt;"")</formula>
    </cfRule>
    <cfRule type="expression" dxfId="141" priority="119">
      <formula>AND(C$10="Entrada",#REF!&lt;&gt;"")</formula>
    </cfRule>
  </conditionalFormatting>
  <conditionalFormatting sqref="C213:D213">
    <cfRule type="expression" dxfId="138" priority="126">
      <formula>AND(C$13="Entrada",#REF!&lt;&gt;"")</formula>
    </cfRule>
  </conditionalFormatting>
  <conditionalFormatting sqref="C212:E212">
    <cfRule type="expression" dxfId="135" priority="123">
      <formula>AND(OR(C$10="Salida",C$10="Entrada"),#REF!="")</formula>
    </cfRule>
    <cfRule type="expression" dxfId="136" priority="124">
      <formula>AND(C$10="Salida",#REF!&lt;&gt;"")</formula>
    </cfRule>
    <cfRule type="expression" dxfId="137" priority="125">
      <formula>AND(C$10="Entrada",#REF!&lt;&gt;"")</formula>
    </cfRule>
  </conditionalFormatting>
  <conditionalFormatting sqref="C213:E213">
    <cfRule type="expression" dxfId="134" priority="128">
      <formula>AND(OR(C$13="Salida",C$13="Entrada"),#REF!="")</formula>
    </cfRule>
  </conditionalFormatting>
  <conditionalFormatting sqref="C213:E213">
    <cfRule type="expression" dxfId="133" priority="127">
      <formula>AND(C$13="Salida",#REF!&lt;&gt;"")</formula>
    </cfRule>
  </conditionalFormatting>
  <conditionalFormatting sqref="E206:E211">
    <cfRule type="expression" dxfId="132" priority="120">
      <formula>AND(E$13="Salida",#REF!&lt;&gt;"")</formula>
    </cfRule>
    <cfRule type="expression" dxfId="130" priority="121">
      <formula>AND(E$13="Entrada",#REF!&lt;&gt;"")</formula>
    </cfRule>
    <cfRule type="expression" dxfId="131" priority="122">
      <formula>AND(OR(E$13="Salida",E$13="Entrada"),#REF!="")</formula>
    </cfRule>
  </conditionalFormatting>
  <conditionalFormatting sqref="E213">
    <cfRule type="expression" dxfId="129" priority="129">
      <formula>AND(E$13="Entrada",#REF!&lt;&gt;"")</formula>
    </cfRule>
  </conditionalFormatting>
  <conditionalFormatting sqref="C242:D242">
    <cfRule type="expression" dxfId="89" priority="65">
      <formula>AND(OR(C$10="Salida",C$10="Entrada"),#REF!="")</formula>
    </cfRule>
    <cfRule type="expression" dxfId="88" priority="66">
      <formula>AND(C$10="Salida",#REF!&lt;&gt;"")</formula>
    </cfRule>
    <cfRule type="expression" dxfId="87" priority="67">
      <formula>AND(C$10="Entrada",#REF!&lt;&gt;"")</formula>
    </cfRule>
  </conditionalFormatting>
  <conditionalFormatting sqref="C244:D244">
    <cfRule type="expression" dxfId="86" priority="74">
      <formula>AND(C$13="Entrada",#REF!&lt;&gt;"")</formula>
    </cfRule>
  </conditionalFormatting>
  <conditionalFormatting sqref="C244:E244">
    <cfRule type="expression" dxfId="82" priority="76">
      <formula>AND(OR(C$13="Salida",C$13="Entrada"),#REF!="")</formula>
    </cfRule>
  </conditionalFormatting>
  <conditionalFormatting sqref="C244:E244">
    <cfRule type="expression" dxfId="81" priority="75">
      <formula>AND(C$13="Salida",#REF!&lt;&gt;"")</formula>
    </cfRule>
  </conditionalFormatting>
  <conditionalFormatting sqref="E242">
    <cfRule type="expression" dxfId="80" priority="68">
      <formula>AND(E$13="Salida",#REF!&lt;&gt;"")</formula>
    </cfRule>
    <cfRule type="expression" dxfId="79" priority="69">
      <formula>AND(E$13="Entrada",#REF!&lt;&gt;"")</formula>
    </cfRule>
    <cfRule type="expression" dxfId="78" priority="70">
      <formula>AND(OR(E$13="Salida",E$13="Entrada"),#REF!="")</formula>
    </cfRule>
  </conditionalFormatting>
  <conditionalFormatting sqref="E244">
    <cfRule type="expression" dxfId="77" priority="77">
      <formula>AND(E$13="Entrada",#REF!&lt;&gt;"")</formula>
    </cfRule>
  </conditionalFormatting>
  <conditionalFormatting sqref="C215:D220">
    <cfRule type="expression" dxfId="76" priority="52">
      <formula>AND(OR(C$10="Salida",C$10="Entrada"),#REF!="")</formula>
    </cfRule>
    <cfRule type="expression" dxfId="75" priority="53">
      <formula>AND(C$10="Salida",#REF!&lt;&gt;"")</formula>
    </cfRule>
    <cfRule type="expression" dxfId="74" priority="54">
      <formula>AND(C$10="Entrada",#REF!&lt;&gt;"")</formula>
    </cfRule>
  </conditionalFormatting>
  <conditionalFormatting sqref="C222:D222">
    <cfRule type="expression" dxfId="73" priority="61">
      <formula>AND(C$13="Entrada",#REF!&lt;&gt;"")</formula>
    </cfRule>
  </conditionalFormatting>
  <conditionalFormatting sqref="C221:E221">
    <cfRule type="expression" dxfId="72" priority="58">
      <formula>AND(OR(C$10="Salida",C$10="Entrada"),#REF!="")</formula>
    </cfRule>
    <cfRule type="expression" dxfId="71" priority="59">
      <formula>AND(C$10="Salida",#REF!&lt;&gt;"")</formula>
    </cfRule>
    <cfRule type="expression" dxfId="70" priority="60">
      <formula>AND(C$10="Entrada",#REF!&lt;&gt;"")</formula>
    </cfRule>
  </conditionalFormatting>
  <conditionalFormatting sqref="C222:E222">
    <cfRule type="expression" dxfId="69" priority="63">
      <formula>AND(OR(C$13="Salida",C$13="Entrada"),#REF!="")</formula>
    </cfRule>
  </conditionalFormatting>
  <conditionalFormatting sqref="C222:E222">
    <cfRule type="expression" dxfId="68" priority="62">
      <formula>AND(C$13="Salida",#REF!&lt;&gt;"")</formula>
    </cfRule>
  </conditionalFormatting>
  <conditionalFormatting sqref="E215:E220">
    <cfRule type="expression" dxfId="67" priority="55">
      <formula>AND(E$13="Salida",#REF!&lt;&gt;"")</formula>
    </cfRule>
    <cfRule type="expression" dxfId="66" priority="56">
      <formula>AND(E$13="Entrada",#REF!&lt;&gt;"")</formula>
    </cfRule>
    <cfRule type="expression" dxfId="65" priority="57">
      <formula>AND(OR(E$13="Salida",E$13="Entrada"),#REF!="")</formula>
    </cfRule>
  </conditionalFormatting>
  <conditionalFormatting sqref="E222">
    <cfRule type="expression" dxfId="64" priority="64">
      <formula>AND(E$13="Entrada",#REF!&lt;&gt;"")</formula>
    </cfRule>
  </conditionalFormatting>
  <conditionalFormatting sqref="C224:D229">
    <cfRule type="expression" dxfId="63" priority="39">
      <formula>AND(OR(C$10="Salida",C$10="Entrada"),#REF!="")</formula>
    </cfRule>
    <cfRule type="expression" dxfId="62" priority="40">
      <formula>AND(C$10="Salida",#REF!&lt;&gt;"")</formula>
    </cfRule>
    <cfRule type="expression" dxfId="61" priority="41">
      <formula>AND(C$10="Entrada",#REF!&lt;&gt;"")</formula>
    </cfRule>
  </conditionalFormatting>
  <conditionalFormatting sqref="C231:D231">
    <cfRule type="expression" dxfId="60" priority="48">
      <formula>AND(C$13="Entrada",#REF!&lt;&gt;"")</formula>
    </cfRule>
  </conditionalFormatting>
  <conditionalFormatting sqref="C230:E230">
    <cfRule type="expression" dxfId="59" priority="45">
      <formula>AND(OR(C$10="Salida",C$10="Entrada"),#REF!="")</formula>
    </cfRule>
    <cfRule type="expression" dxfId="58" priority="46">
      <formula>AND(C$10="Salida",#REF!&lt;&gt;"")</formula>
    </cfRule>
    <cfRule type="expression" dxfId="57" priority="47">
      <formula>AND(C$10="Entrada",#REF!&lt;&gt;"")</formula>
    </cfRule>
  </conditionalFormatting>
  <conditionalFormatting sqref="C231:E231">
    <cfRule type="expression" dxfId="56" priority="50">
      <formula>AND(OR(C$13="Salida",C$13="Entrada"),#REF!="")</formula>
    </cfRule>
  </conditionalFormatting>
  <conditionalFormatting sqref="C231:E231">
    <cfRule type="expression" dxfId="55" priority="49">
      <formula>AND(C$13="Salida",#REF!&lt;&gt;"")</formula>
    </cfRule>
  </conditionalFormatting>
  <conditionalFormatting sqref="E224:E229">
    <cfRule type="expression" dxfId="54" priority="42">
      <formula>AND(E$13="Salida",#REF!&lt;&gt;"")</formula>
    </cfRule>
    <cfRule type="expression" dxfId="53" priority="43">
      <formula>AND(E$13="Entrada",#REF!&lt;&gt;"")</formula>
    </cfRule>
    <cfRule type="expression" dxfId="52" priority="44">
      <formula>AND(OR(E$13="Salida",E$13="Entrada"),#REF!="")</formula>
    </cfRule>
  </conditionalFormatting>
  <conditionalFormatting sqref="E231">
    <cfRule type="expression" dxfId="51" priority="51">
      <formula>AND(E$13="Entrada",#REF!&lt;&gt;"")</formula>
    </cfRule>
  </conditionalFormatting>
  <conditionalFormatting sqref="C233:D238">
    <cfRule type="expression" dxfId="50" priority="26">
      <formula>AND(OR(C$10="Salida",C$10="Entrada"),#REF!="")</formula>
    </cfRule>
    <cfRule type="expression" dxfId="49" priority="27">
      <formula>AND(C$10="Salida",#REF!&lt;&gt;"")</formula>
    </cfRule>
    <cfRule type="expression" dxfId="48" priority="28">
      <formula>AND(C$10="Entrada",#REF!&lt;&gt;"")</formula>
    </cfRule>
  </conditionalFormatting>
  <conditionalFormatting sqref="C240:D240">
    <cfRule type="expression" dxfId="47" priority="35">
      <formula>AND(C$13="Entrada",#REF!&lt;&gt;"")</formula>
    </cfRule>
  </conditionalFormatting>
  <conditionalFormatting sqref="C239:E239">
    <cfRule type="expression" dxfId="46" priority="32">
      <formula>AND(OR(C$10="Salida",C$10="Entrada"),#REF!="")</formula>
    </cfRule>
    <cfRule type="expression" dxfId="45" priority="33">
      <formula>AND(C$10="Salida",#REF!&lt;&gt;"")</formula>
    </cfRule>
    <cfRule type="expression" dxfId="44" priority="34">
      <formula>AND(C$10="Entrada",#REF!&lt;&gt;"")</formula>
    </cfRule>
  </conditionalFormatting>
  <conditionalFormatting sqref="C240:E240">
    <cfRule type="expression" dxfId="43" priority="37">
      <formula>AND(OR(C$13="Salida",C$13="Entrada"),#REF!="")</formula>
    </cfRule>
  </conditionalFormatting>
  <conditionalFormatting sqref="C240:E240">
    <cfRule type="expression" dxfId="42" priority="36">
      <formula>AND(C$13="Salida",#REF!&lt;&gt;"")</formula>
    </cfRule>
  </conditionalFormatting>
  <conditionalFormatting sqref="E233:E238">
    <cfRule type="expression" dxfId="41" priority="29">
      <formula>AND(E$13="Salida",#REF!&lt;&gt;"")</formula>
    </cfRule>
    <cfRule type="expression" dxfId="40" priority="30">
      <formula>AND(E$13="Entrada",#REF!&lt;&gt;"")</formula>
    </cfRule>
    <cfRule type="expression" dxfId="39" priority="31">
      <formula>AND(OR(E$13="Salida",E$13="Entrada"),#REF!="")</formula>
    </cfRule>
  </conditionalFormatting>
  <conditionalFormatting sqref="E240">
    <cfRule type="expression" dxfId="38" priority="38">
      <formula>AND(E$13="Entrada",#REF!&lt;&gt;"")</formula>
    </cfRule>
  </conditionalFormatting>
  <conditionalFormatting sqref="C243:D243">
    <cfRule type="expression" dxfId="37" priority="20">
      <formula>AND(OR(C$10="Salida",C$10="Entrada"),#REF!="")</formula>
    </cfRule>
    <cfRule type="expression" dxfId="36" priority="21">
      <formula>AND(C$10="Salida",#REF!&lt;&gt;"")</formula>
    </cfRule>
    <cfRule type="expression" dxfId="35" priority="22">
      <formula>AND(C$10="Entrada",#REF!&lt;&gt;"")</formula>
    </cfRule>
  </conditionalFormatting>
  <conditionalFormatting sqref="E243">
    <cfRule type="expression" dxfId="34" priority="23">
      <formula>AND(E$13="Salida",#REF!&lt;&gt;"")</formula>
    </cfRule>
    <cfRule type="expression" dxfId="33" priority="24">
      <formula>AND(E$13="Entrada",#REF!&lt;&gt;"")</formula>
    </cfRule>
    <cfRule type="expression" dxfId="32" priority="25">
      <formula>AND(OR(E$13="Salida",E$13="Entrada"),#REF!="")</formula>
    </cfRule>
  </conditionalFormatting>
  <conditionalFormatting sqref="AA206:AC211">
    <cfRule type="expression" dxfId="31" priority="19">
      <formula>AND(OR(AA$13="Salida",AA$13="Entrada"),#REF!="")</formula>
    </cfRule>
  </conditionalFormatting>
  <conditionalFormatting sqref="AA206:AC210">
    <cfRule type="expression" dxfId="30" priority="14">
      <formula>AND(AA$13="Entrada",#REF!&lt;&gt;"")</formula>
    </cfRule>
    <cfRule type="expression" dxfId="29" priority="15">
      <formula>AND(AA$13="Salida",#REF!&lt;&gt;"")</formula>
    </cfRule>
  </conditionalFormatting>
  <conditionalFormatting sqref="AA206:AC211">
    <cfRule type="expression" dxfId="27" priority="17">
      <formula>AND(AA$13="Entrada",#REF!&lt;&gt;"")</formula>
    </cfRule>
    <cfRule type="expression" dxfId="28" priority="18">
      <formula>AND(AA$13="Salida",#REF!&lt;&gt;"")</formula>
    </cfRule>
  </conditionalFormatting>
  <conditionalFormatting sqref="AA210:AC210">
    <cfRule type="expression" dxfId="26" priority="16">
      <formula>AND(OR(AA$13="Salida",AA$13="Entrada"),#REF!="")</formula>
    </cfRule>
  </conditionalFormatting>
  <conditionalFormatting sqref="Z213">
    <cfRule type="expression" dxfId="12" priority="9">
      <formula>AND(Z$13="Entrada",#REF!&lt;&gt;"")</formula>
    </cfRule>
  </conditionalFormatting>
  <conditionalFormatting sqref="X212:Y212">
    <cfRule type="expression" dxfId="9" priority="4">
      <formula>AND(OR(X$10="Salida",X$10="Entrada"),#REF!="")</formula>
    </cfRule>
    <cfRule type="expression" dxfId="10" priority="5">
      <formula>AND(X$10="Salida",#REF!&lt;&gt;"")</formula>
    </cfRule>
    <cfRule type="expression" dxfId="11" priority="6">
      <formula>AND(X$10="Entrada",#REF!&lt;&gt;"")</formula>
    </cfRule>
  </conditionalFormatting>
  <conditionalFormatting sqref="Z213 Y212:Z212 X206:Z209">
    <cfRule type="expression" dxfId="8" priority="11">
      <formula>AND(OR(X$13="Salida",X$13="Entrada"),#REF!="")</formula>
    </cfRule>
  </conditionalFormatting>
  <conditionalFormatting sqref="Z213">
    <cfRule type="expression" dxfId="7" priority="10">
      <formula>AND(Z$13="Salida",#REF!&lt;&gt;"")</formula>
    </cfRule>
  </conditionalFormatting>
  <conditionalFormatting sqref="X210:Z210">
    <cfRule type="expression" dxfId="6" priority="2">
      <formula>AND(X$13="Entrada",#REF!&lt;&gt;"")</formula>
    </cfRule>
    <cfRule type="expression" dxfId="5" priority="3">
      <formula>AND(X$13="Salida",#REF!&lt;&gt;"")</formula>
    </cfRule>
  </conditionalFormatting>
  <conditionalFormatting sqref="X210:Z210">
    <cfRule type="expression" dxfId="4" priority="1">
      <formula>AND(OR(X$13="Salida",X$13="Entrada"),#REF!="")</formula>
    </cfRule>
  </conditionalFormatting>
  <conditionalFormatting sqref="X206:Z209">
    <cfRule type="expression" dxfId="3" priority="12">
      <formula>AND(X$13="Entrada",#REF!&lt;&gt;"")</formula>
    </cfRule>
  </conditionalFormatting>
  <conditionalFormatting sqref="X206:Z209">
    <cfRule type="expression" dxfId="2" priority="13">
      <formula>AND(X$13="Salida",#REF!&lt;&gt;"")</formula>
    </cfRule>
  </conditionalFormatting>
  <conditionalFormatting sqref="Y212:Z212">
    <cfRule type="expression" dxfId="1" priority="7">
      <formula>AND(Y$13="Salida",#REF!&lt;&gt;"")</formula>
    </cfRule>
    <cfRule type="expression" dxfId="0" priority="8">
      <formula>AND(Y$13="Entrada",#REF!&lt;&gt;"")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5885-9949-46D4-8354-4BA3246C85C8}">
  <dimension ref="C1:S116"/>
  <sheetViews>
    <sheetView showGridLines="0" zoomScaleNormal="100" workbookViewId="0">
      <pane xSplit="2" ySplit="9" topLeftCell="C106" activePane="bottomRight" state="frozen"/>
      <selection pane="topRight" activeCell="H1" sqref="H1"/>
      <selection pane="bottomLeft" activeCell="A10" sqref="A10"/>
      <selection pane="bottomRight" activeCell="G112" sqref="G112:K116"/>
    </sheetView>
  </sheetViews>
  <sheetFormatPr baseColWidth="10" defaultColWidth="11.42578125" defaultRowHeight="15" x14ac:dyDescent="0.25"/>
  <cols>
    <col min="3" max="6" width="0" hidden="1" customWidth="1"/>
    <col min="9" max="9" width="11.42578125" customWidth="1"/>
    <col min="11" max="11" width="16.42578125" customWidth="1"/>
    <col min="12" max="12" width="11.42578125" customWidth="1"/>
    <col min="13" max="13" width="15.42578125" bestFit="1" customWidth="1"/>
    <col min="18" max="18" width="12.85546875" bestFit="1" customWidth="1"/>
    <col min="19" max="19" width="23.5703125" bestFit="1" customWidth="1"/>
  </cols>
  <sheetData>
    <row r="1" spans="3:19" x14ac:dyDescent="0.25">
      <c r="G1" t="s">
        <v>11</v>
      </c>
      <c r="O1" t="s">
        <v>46</v>
      </c>
      <c r="R1" t="s">
        <v>48</v>
      </c>
      <c r="S1" t="s">
        <v>47</v>
      </c>
    </row>
    <row r="2" spans="3:19" x14ac:dyDescent="0.25">
      <c r="C2" s="21"/>
      <c r="D2" s="21" t="s">
        <v>14</v>
      </c>
      <c r="E2" s="21" t="s">
        <v>15</v>
      </c>
      <c r="F2" s="21" t="s">
        <v>16</v>
      </c>
      <c r="G2" s="29"/>
      <c r="H2" s="21"/>
      <c r="I2" s="21" t="s">
        <v>14</v>
      </c>
      <c r="J2" s="21" t="s">
        <v>15</v>
      </c>
      <c r="K2" s="21" t="s">
        <v>36</v>
      </c>
      <c r="L2" s="21" t="s">
        <v>37</v>
      </c>
      <c r="O2" s="9">
        <v>0.33333333333333331</v>
      </c>
      <c r="P2" s="9">
        <v>0.75</v>
      </c>
      <c r="Q2">
        <v>10</v>
      </c>
      <c r="R2" t="s">
        <v>49</v>
      </c>
      <c r="S2" t="s">
        <v>50</v>
      </c>
    </row>
    <row r="3" spans="3:19" x14ac:dyDescent="0.25">
      <c r="C3" s="21" t="s">
        <v>18</v>
      </c>
      <c r="D3" s="21"/>
      <c r="E3" s="21"/>
      <c r="F3" s="21" t="s">
        <v>19</v>
      </c>
      <c r="G3" s="29"/>
      <c r="H3" s="21" t="s">
        <v>18</v>
      </c>
      <c r="I3" s="21"/>
      <c r="J3" s="21"/>
      <c r="K3" s="21" t="s">
        <v>19</v>
      </c>
      <c r="O3" s="22">
        <v>0.33333333333333331</v>
      </c>
      <c r="P3" s="22">
        <v>0.70833333333333337</v>
      </c>
      <c r="Q3">
        <v>9</v>
      </c>
    </row>
    <row r="4" spans="3:19" x14ac:dyDescent="0.25">
      <c r="C4" s="21" t="s">
        <v>18</v>
      </c>
      <c r="D4" s="21" t="s">
        <v>12</v>
      </c>
      <c r="E4" s="21" t="s">
        <v>13</v>
      </c>
      <c r="F4" s="21" t="s">
        <v>17</v>
      </c>
      <c r="G4" s="29"/>
      <c r="H4" s="21" t="s">
        <v>18</v>
      </c>
      <c r="I4" s="21" t="s">
        <v>12</v>
      </c>
      <c r="J4" s="21" t="s">
        <v>13</v>
      </c>
      <c r="K4" s="21" t="s">
        <v>17</v>
      </c>
      <c r="O4" s="22">
        <v>0.33333333333333331</v>
      </c>
      <c r="P4" s="22">
        <v>0.66666666666666663</v>
      </c>
      <c r="Q4">
        <v>8</v>
      </c>
    </row>
    <row r="5" spans="3:19" x14ac:dyDescent="0.25">
      <c r="C5" s="21" t="s">
        <v>18</v>
      </c>
      <c r="D5" s="21" t="s">
        <v>19</v>
      </c>
      <c r="E5" s="21" t="s">
        <v>20</v>
      </c>
      <c r="F5" s="21" t="s">
        <v>21</v>
      </c>
      <c r="G5" s="29"/>
      <c r="H5" s="21" t="s">
        <v>18</v>
      </c>
      <c r="I5" s="21" t="s">
        <v>19</v>
      </c>
      <c r="J5" s="21" t="s">
        <v>20</v>
      </c>
      <c r="K5" s="21" t="s">
        <v>21</v>
      </c>
      <c r="O5" s="22">
        <v>0.375</v>
      </c>
      <c r="P5" s="22">
        <v>0.66666666666666663</v>
      </c>
      <c r="Q5">
        <v>7</v>
      </c>
    </row>
    <row r="6" spans="3:19" x14ac:dyDescent="0.25">
      <c r="C6" s="21" t="s">
        <v>18</v>
      </c>
      <c r="D6" s="21" t="s">
        <v>13</v>
      </c>
      <c r="E6" s="21" t="s">
        <v>12</v>
      </c>
      <c r="F6" s="21" t="s">
        <v>22</v>
      </c>
      <c r="G6" s="29"/>
      <c r="H6" s="21" t="s">
        <v>18</v>
      </c>
      <c r="I6" s="21" t="s">
        <v>13</v>
      </c>
      <c r="J6" s="21" t="s">
        <v>12</v>
      </c>
      <c r="K6" s="21" t="s">
        <v>22</v>
      </c>
      <c r="O6" s="49">
        <v>0.375</v>
      </c>
      <c r="P6" s="49">
        <v>0.75</v>
      </c>
      <c r="Q6">
        <v>9</v>
      </c>
    </row>
    <row r="7" spans="3:19" x14ac:dyDescent="0.25">
      <c r="C7" s="21" t="s">
        <v>18</v>
      </c>
      <c r="D7" s="21" t="s">
        <v>21</v>
      </c>
      <c r="E7" s="21" t="s">
        <v>20</v>
      </c>
      <c r="F7" s="21" t="s">
        <v>17</v>
      </c>
      <c r="G7" s="29"/>
      <c r="H7" s="21" t="s">
        <v>18</v>
      </c>
      <c r="I7" s="21" t="s">
        <v>21</v>
      </c>
      <c r="J7" s="21" t="s">
        <v>20</v>
      </c>
      <c r="K7" s="21" t="s">
        <v>17</v>
      </c>
    </row>
    <row r="8" spans="3:19" x14ac:dyDescent="0.25">
      <c r="C8" s="21" t="s">
        <v>23</v>
      </c>
      <c r="D8" s="21" t="s">
        <v>12</v>
      </c>
      <c r="E8" s="21" t="s">
        <v>22</v>
      </c>
      <c r="F8" s="21" t="s">
        <v>13</v>
      </c>
      <c r="G8" s="29"/>
      <c r="H8" s="21" t="s">
        <v>23</v>
      </c>
      <c r="I8" s="21" t="s">
        <v>12</v>
      </c>
      <c r="J8" s="21" t="s">
        <v>22</v>
      </c>
      <c r="K8" s="21" t="s">
        <v>13</v>
      </c>
    </row>
    <row r="9" spans="3:19" x14ac:dyDescent="0.25">
      <c r="C9" s="21" t="s">
        <v>23</v>
      </c>
      <c r="D9" s="21" t="s">
        <v>19</v>
      </c>
      <c r="E9" s="21" t="s">
        <v>21</v>
      </c>
      <c r="F9" s="21" t="s">
        <v>20</v>
      </c>
      <c r="G9" s="29"/>
      <c r="H9" s="21" t="s">
        <v>23</v>
      </c>
      <c r="I9" s="21" t="s">
        <v>19</v>
      </c>
      <c r="J9" s="21" t="s">
        <v>21</v>
      </c>
      <c r="K9" s="21" t="s">
        <v>20</v>
      </c>
    </row>
    <row r="10" spans="3:19" x14ac:dyDescent="0.25">
      <c r="C10" s="21" t="s">
        <v>23</v>
      </c>
      <c r="D10" s="21" t="s">
        <v>22</v>
      </c>
      <c r="E10" s="21" t="s">
        <v>13</v>
      </c>
      <c r="F10" s="21" t="s">
        <v>17</v>
      </c>
      <c r="G10" s="29"/>
      <c r="H10" s="21" t="s">
        <v>23</v>
      </c>
      <c r="I10" s="21" t="s">
        <v>22</v>
      </c>
      <c r="J10" s="21" t="s">
        <v>13</v>
      </c>
      <c r="K10" s="21" t="s">
        <v>17</v>
      </c>
    </row>
    <row r="11" spans="3:19" x14ac:dyDescent="0.25">
      <c r="C11" s="21" t="s">
        <v>23</v>
      </c>
      <c r="D11" s="21" t="s">
        <v>21</v>
      </c>
      <c r="E11" s="21" t="s">
        <v>20</v>
      </c>
      <c r="F11" s="21" t="s">
        <v>12</v>
      </c>
      <c r="G11" s="29"/>
      <c r="H11" s="21" t="s">
        <v>23</v>
      </c>
      <c r="I11" s="21" t="s">
        <v>21</v>
      </c>
      <c r="J11" s="21" t="s">
        <v>20</v>
      </c>
      <c r="K11" s="21" t="s">
        <v>12</v>
      </c>
    </row>
    <row r="12" spans="3:19" x14ac:dyDescent="0.25">
      <c r="C12" s="21" t="s">
        <v>24</v>
      </c>
      <c r="D12" s="21" t="s">
        <v>19</v>
      </c>
      <c r="E12" s="21" t="s">
        <v>13</v>
      </c>
      <c r="F12" s="21" t="s">
        <v>17</v>
      </c>
      <c r="G12" s="27"/>
      <c r="H12" s="21" t="s">
        <v>24</v>
      </c>
      <c r="I12" s="28" t="s">
        <v>19</v>
      </c>
      <c r="J12" s="28" t="s">
        <v>13</v>
      </c>
      <c r="K12" s="28" t="s">
        <v>17</v>
      </c>
    </row>
    <row r="13" spans="3:19" x14ac:dyDescent="0.25">
      <c r="C13" s="21" t="s">
        <v>24</v>
      </c>
      <c r="D13" s="21" t="s">
        <v>21</v>
      </c>
      <c r="E13" s="21" t="s">
        <v>20</v>
      </c>
      <c r="F13" s="21" t="s">
        <v>22</v>
      </c>
      <c r="G13" s="27"/>
      <c r="H13" s="21" t="s">
        <v>24</v>
      </c>
      <c r="I13" s="28" t="s">
        <v>22</v>
      </c>
      <c r="J13" s="28" t="s">
        <v>20</v>
      </c>
      <c r="K13" s="28" t="s">
        <v>21</v>
      </c>
    </row>
    <row r="14" spans="3:19" x14ac:dyDescent="0.25">
      <c r="C14" s="21" t="s">
        <v>24</v>
      </c>
      <c r="D14" s="21" t="s">
        <v>12</v>
      </c>
      <c r="E14" s="21" t="s">
        <v>19</v>
      </c>
      <c r="F14" s="21" t="s">
        <v>17</v>
      </c>
      <c r="G14" s="27"/>
      <c r="H14" s="21" t="s">
        <v>24</v>
      </c>
      <c r="I14" s="28" t="s">
        <v>12</v>
      </c>
      <c r="J14" s="28" t="s">
        <v>19</v>
      </c>
      <c r="K14" s="28" t="s">
        <v>17</v>
      </c>
    </row>
    <row r="15" spans="3:19" x14ac:dyDescent="0.25">
      <c r="C15" s="21" t="s">
        <v>24</v>
      </c>
      <c r="D15" s="21" t="s">
        <v>13</v>
      </c>
      <c r="E15" s="21" t="s">
        <v>22</v>
      </c>
      <c r="F15" s="21" t="s">
        <v>21</v>
      </c>
      <c r="G15" s="27"/>
      <c r="H15" s="21" t="s">
        <v>24</v>
      </c>
      <c r="I15" s="28" t="s">
        <v>13</v>
      </c>
      <c r="J15" s="28" t="s">
        <v>21</v>
      </c>
      <c r="K15" s="28" t="s">
        <v>22</v>
      </c>
    </row>
    <row r="16" spans="3:19" x14ac:dyDescent="0.25">
      <c r="C16" s="21" t="s">
        <v>25</v>
      </c>
      <c r="D16" s="21" t="s">
        <v>12</v>
      </c>
      <c r="E16" s="21" t="s">
        <v>20</v>
      </c>
      <c r="F16" s="21" t="s">
        <v>19</v>
      </c>
      <c r="G16" s="27"/>
      <c r="H16" s="21" t="s">
        <v>25</v>
      </c>
      <c r="I16" s="21" t="s">
        <v>12</v>
      </c>
      <c r="J16" s="21" t="s">
        <v>20</v>
      </c>
      <c r="K16" s="21" t="s">
        <v>27</v>
      </c>
      <c r="L16" s="32" t="s">
        <v>28</v>
      </c>
    </row>
    <row r="17" spans="3:17" x14ac:dyDescent="0.25">
      <c r="C17" s="30"/>
      <c r="D17" s="29"/>
      <c r="E17" s="29"/>
      <c r="F17" s="29"/>
      <c r="G17" s="29"/>
      <c r="H17" s="21" t="s">
        <v>25</v>
      </c>
      <c r="I17" s="33" t="s">
        <v>21</v>
      </c>
      <c r="J17" s="33" t="s">
        <v>13</v>
      </c>
      <c r="K17" s="33" t="s">
        <v>17</v>
      </c>
    </row>
    <row r="18" spans="3:17" x14ac:dyDescent="0.25">
      <c r="C18" s="21"/>
      <c r="D18" s="29"/>
      <c r="E18" s="29"/>
      <c r="F18" s="29"/>
      <c r="G18" s="29"/>
      <c r="H18" s="21" t="s">
        <v>25</v>
      </c>
      <c r="I18" s="33" t="s">
        <v>22</v>
      </c>
      <c r="J18" s="33" t="s">
        <v>12</v>
      </c>
      <c r="K18" s="33" t="s">
        <v>21</v>
      </c>
      <c r="M18" s="29"/>
    </row>
    <row r="19" spans="3:17" x14ac:dyDescent="0.25">
      <c r="C19" s="21"/>
      <c r="D19" s="29"/>
      <c r="E19" s="29"/>
      <c r="F19" s="29"/>
      <c r="G19" s="29"/>
      <c r="H19" s="21" t="s">
        <v>25</v>
      </c>
      <c r="I19" s="33" t="s">
        <v>21</v>
      </c>
      <c r="J19" s="33" t="s">
        <v>13</v>
      </c>
      <c r="K19" s="33" t="s">
        <v>17</v>
      </c>
    </row>
    <row r="20" spans="3:17" x14ac:dyDescent="0.25">
      <c r="C20" s="29"/>
      <c r="D20" s="29"/>
      <c r="E20" s="29"/>
      <c r="F20" s="29"/>
      <c r="G20" s="29"/>
      <c r="H20" s="21" t="s">
        <v>25</v>
      </c>
      <c r="I20" s="33" t="s">
        <v>22</v>
      </c>
      <c r="J20" s="33" t="s">
        <v>20</v>
      </c>
      <c r="K20" s="33" t="s">
        <v>13</v>
      </c>
    </row>
    <row r="21" spans="3:17" x14ac:dyDescent="0.25">
      <c r="C21" s="29"/>
      <c r="D21" s="29"/>
      <c r="E21" s="29"/>
      <c r="F21" s="29"/>
      <c r="G21" s="29"/>
      <c r="H21" s="21" t="s">
        <v>26</v>
      </c>
      <c r="I21" s="33" t="s">
        <v>12</v>
      </c>
      <c r="J21" s="33" t="s">
        <v>20</v>
      </c>
      <c r="K21" s="33" t="s">
        <v>22</v>
      </c>
    </row>
    <row r="22" spans="3:17" x14ac:dyDescent="0.25">
      <c r="H22" s="21" t="s">
        <v>26</v>
      </c>
      <c r="I22" s="33" t="s">
        <v>13</v>
      </c>
      <c r="J22" s="33" t="s">
        <v>21</v>
      </c>
      <c r="K22" s="33" t="s">
        <v>12</v>
      </c>
    </row>
    <row r="23" spans="3:17" x14ac:dyDescent="0.25">
      <c r="H23" s="21" t="s">
        <v>26</v>
      </c>
      <c r="I23" s="33" t="s">
        <v>22</v>
      </c>
      <c r="J23" s="33" t="s">
        <v>12</v>
      </c>
      <c r="K23" s="33" t="s">
        <v>20</v>
      </c>
    </row>
    <row r="24" spans="3:17" x14ac:dyDescent="0.25">
      <c r="H24" s="21" t="s">
        <v>26</v>
      </c>
      <c r="I24" s="33" t="s">
        <v>13</v>
      </c>
      <c r="J24" s="33" t="s">
        <v>21</v>
      </c>
      <c r="K24" s="33" t="s">
        <v>20</v>
      </c>
      <c r="O24" s="34"/>
      <c r="P24" s="44"/>
    </row>
    <row r="25" spans="3:17" x14ac:dyDescent="0.25">
      <c r="G25">
        <v>3</v>
      </c>
      <c r="H25" s="21" t="s">
        <v>29</v>
      </c>
      <c r="I25" s="33" t="s">
        <v>12</v>
      </c>
      <c r="J25" s="33" t="s">
        <v>13</v>
      </c>
      <c r="K25" s="33" t="s">
        <v>22</v>
      </c>
      <c r="O25" s="34"/>
      <c r="P25" s="44"/>
    </row>
    <row r="26" spans="3:17" x14ac:dyDescent="0.25">
      <c r="G26">
        <v>10</v>
      </c>
      <c r="H26" s="21" t="s">
        <v>29</v>
      </c>
      <c r="I26" s="34" t="s">
        <v>21</v>
      </c>
      <c r="J26" s="34" t="s">
        <v>20</v>
      </c>
      <c r="K26" s="34" t="s">
        <v>30</v>
      </c>
      <c r="O26" s="34"/>
      <c r="P26" s="44"/>
    </row>
    <row r="27" spans="3:17" x14ac:dyDescent="0.25">
      <c r="G27">
        <v>17</v>
      </c>
      <c r="H27" s="21" t="s">
        <v>29</v>
      </c>
      <c r="I27" s="34" t="s">
        <v>22</v>
      </c>
      <c r="J27" s="34" t="s">
        <v>13</v>
      </c>
      <c r="K27" s="34" t="s">
        <v>20</v>
      </c>
      <c r="O27" s="34"/>
      <c r="P27" s="44"/>
    </row>
    <row r="28" spans="3:17" x14ac:dyDescent="0.25">
      <c r="G28">
        <v>24</v>
      </c>
      <c r="H28" s="21" t="s">
        <v>29</v>
      </c>
      <c r="I28" s="34" t="s">
        <v>12</v>
      </c>
      <c r="J28" s="44" t="s">
        <v>30</v>
      </c>
      <c r="K28" s="34" t="s">
        <v>22</v>
      </c>
    </row>
    <row r="29" spans="3:17" x14ac:dyDescent="0.25">
      <c r="G29" s="3">
        <v>45809</v>
      </c>
      <c r="H29" s="21" t="s">
        <v>31</v>
      </c>
      <c r="I29" s="46" t="s">
        <v>13</v>
      </c>
      <c r="J29" s="47" t="s">
        <v>21</v>
      </c>
      <c r="K29" s="46" t="s">
        <v>20</v>
      </c>
    </row>
    <row r="30" spans="3:17" x14ac:dyDescent="0.25">
      <c r="G30">
        <v>7</v>
      </c>
      <c r="H30" s="21" t="s">
        <v>31</v>
      </c>
      <c r="I30" s="46" t="s">
        <v>30</v>
      </c>
      <c r="J30" s="47" t="s">
        <v>22</v>
      </c>
      <c r="K30" s="46" t="s">
        <v>12</v>
      </c>
    </row>
    <row r="31" spans="3:17" x14ac:dyDescent="0.25">
      <c r="G31">
        <v>14</v>
      </c>
      <c r="H31" s="21" t="s">
        <v>31</v>
      </c>
      <c r="I31" s="46" t="s">
        <v>13</v>
      </c>
      <c r="J31" s="47" t="s">
        <v>20</v>
      </c>
      <c r="K31" s="46" t="s">
        <v>21</v>
      </c>
      <c r="L31" t="s">
        <v>34</v>
      </c>
      <c r="P31" s="45"/>
      <c r="Q31" s="45"/>
    </row>
    <row r="32" spans="3:17" x14ac:dyDescent="0.25">
      <c r="G32">
        <v>21</v>
      </c>
      <c r="H32" s="21" t="s">
        <v>31</v>
      </c>
      <c r="I32" s="46" t="s">
        <v>22</v>
      </c>
      <c r="J32" s="47" t="s">
        <v>30</v>
      </c>
      <c r="K32" s="46" t="s">
        <v>13</v>
      </c>
      <c r="L32" t="s">
        <v>33</v>
      </c>
      <c r="O32" s="34"/>
      <c r="P32" s="44"/>
      <c r="Q32" s="34"/>
    </row>
    <row r="33" spans="7:17" x14ac:dyDescent="0.25">
      <c r="G33">
        <v>28</v>
      </c>
      <c r="H33" s="21" t="s">
        <v>31</v>
      </c>
      <c r="I33" s="46" t="s">
        <v>12</v>
      </c>
      <c r="J33" s="47" t="s">
        <v>30</v>
      </c>
      <c r="K33" s="46" t="s">
        <v>20</v>
      </c>
      <c r="O33" s="34"/>
      <c r="P33" s="44"/>
      <c r="Q33" s="34"/>
    </row>
    <row r="34" spans="7:17" x14ac:dyDescent="0.25">
      <c r="G34">
        <v>5</v>
      </c>
      <c r="H34" s="32" t="s">
        <v>32</v>
      </c>
      <c r="I34" s="46" t="s">
        <v>21</v>
      </c>
      <c r="J34" s="47" t="s">
        <v>12</v>
      </c>
      <c r="K34" s="46" t="s">
        <v>22</v>
      </c>
    </row>
    <row r="35" spans="7:17" x14ac:dyDescent="0.25">
      <c r="G35">
        <v>12</v>
      </c>
      <c r="H35" s="32" t="s">
        <v>32</v>
      </c>
      <c r="I35" s="46" t="s">
        <v>13</v>
      </c>
      <c r="J35" s="47" t="s">
        <v>20</v>
      </c>
      <c r="K35" s="46" t="s">
        <v>30</v>
      </c>
    </row>
    <row r="36" spans="7:17" x14ac:dyDescent="0.25">
      <c r="G36">
        <v>19</v>
      </c>
      <c r="H36" s="32" t="s">
        <v>32</v>
      </c>
      <c r="I36" s="46" t="s">
        <v>22</v>
      </c>
      <c r="J36" s="47" t="s">
        <v>21</v>
      </c>
      <c r="K36" s="46" t="s">
        <v>12</v>
      </c>
    </row>
    <row r="37" spans="7:17" x14ac:dyDescent="0.25">
      <c r="G37">
        <v>26</v>
      </c>
      <c r="H37" s="32" t="s">
        <v>32</v>
      </c>
      <c r="I37" s="46" t="s">
        <v>30</v>
      </c>
      <c r="J37" s="47" t="s">
        <v>13</v>
      </c>
      <c r="K37" s="46" t="s">
        <v>21</v>
      </c>
    </row>
    <row r="38" spans="7:17" x14ac:dyDescent="0.25">
      <c r="G38">
        <v>2</v>
      </c>
      <c r="H38" s="32" t="s">
        <v>35</v>
      </c>
      <c r="I38" s="46" t="s">
        <v>12</v>
      </c>
      <c r="J38" s="47" t="s">
        <v>20</v>
      </c>
      <c r="K38" s="46" t="s">
        <v>22</v>
      </c>
      <c r="O38" t="s">
        <v>43</v>
      </c>
    </row>
    <row r="39" spans="7:17" x14ac:dyDescent="0.25">
      <c r="G39">
        <v>9</v>
      </c>
      <c r="I39" s="46" t="s">
        <v>13</v>
      </c>
      <c r="J39" s="47" t="s">
        <v>30</v>
      </c>
      <c r="K39" s="46" t="s">
        <v>20</v>
      </c>
    </row>
    <row r="40" spans="7:17" x14ac:dyDescent="0.25">
      <c r="G40">
        <v>16</v>
      </c>
      <c r="K40" s="46" t="s">
        <v>13</v>
      </c>
    </row>
    <row r="43" spans="7:17" hidden="1" x14ac:dyDescent="0.25"/>
    <row r="44" spans="7:17" hidden="1" x14ac:dyDescent="0.25"/>
    <row r="45" spans="7:17" hidden="1" x14ac:dyDescent="0.25"/>
    <row r="46" spans="7:17" hidden="1" x14ac:dyDescent="0.25">
      <c r="H46" s="21"/>
      <c r="I46" s="21" t="s">
        <v>14</v>
      </c>
      <c r="J46" s="21" t="s">
        <v>15</v>
      </c>
      <c r="K46" s="21" t="s">
        <v>36</v>
      </c>
      <c r="L46" s="21" t="s">
        <v>37</v>
      </c>
      <c r="M46" s="32" t="s">
        <v>42</v>
      </c>
    </row>
    <row r="47" spans="7:17" hidden="1" x14ac:dyDescent="0.25">
      <c r="H47" s="3">
        <v>45843</v>
      </c>
      <c r="I47" s="46" t="s">
        <v>21</v>
      </c>
      <c r="J47" s="47" t="s">
        <v>12</v>
      </c>
      <c r="K47" s="46" t="s">
        <v>22</v>
      </c>
      <c r="L47" s="48" t="s">
        <v>30</v>
      </c>
    </row>
    <row r="48" spans="7:17" hidden="1" x14ac:dyDescent="0.25">
      <c r="H48" s="3">
        <v>45850</v>
      </c>
      <c r="I48" t="s">
        <v>13</v>
      </c>
      <c r="J48" t="s">
        <v>20</v>
      </c>
      <c r="K48" t="s">
        <v>21</v>
      </c>
      <c r="L48" t="s">
        <v>12</v>
      </c>
      <c r="M48" t="s">
        <v>38</v>
      </c>
    </row>
    <row r="49" spans="8:13" hidden="1" x14ac:dyDescent="0.25">
      <c r="H49" s="3">
        <v>45857</v>
      </c>
      <c r="I49" t="s">
        <v>22</v>
      </c>
      <c r="J49" t="s">
        <v>30</v>
      </c>
      <c r="K49" t="s">
        <v>13</v>
      </c>
      <c r="L49" t="s">
        <v>20</v>
      </c>
      <c r="M49" t="s">
        <v>39</v>
      </c>
    </row>
    <row r="50" spans="8:13" hidden="1" x14ac:dyDescent="0.25">
      <c r="H50" s="3">
        <v>45864</v>
      </c>
      <c r="I50" t="s">
        <v>21</v>
      </c>
      <c r="J50" t="s">
        <v>12</v>
      </c>
      <c r="K50" t="s">
        <v>22</v>
      </c>
      <c r="L50" t="s">
        <v>30</v>
      </c>
      <c r="M50" t="s">
        <v>40</v>
      </c>
    </row>
    <row r="51" spans="8:13" hidden="1" x14ac:dyDescent="0.25">
      <c r="H51" s="3">
        <v>45871</v>
      </c>
      <c r="I51" t="s">
        <v>13</v>
      </c>
      <c r="J51" t="s">
        <v>20</v>
      </c>
      <c r="K51" t="s">
        <v>21</v>
      </c>
      <c r="L51" t="s">
        <v>12</v>
      </c>
      <c r="M51" t="s">
        <v>38</v>
      </c>
    </row>
    <row r="52" spans="8:13" hidden="1" x14ac:dyDescent="0.25">
      <c r="M52" t="s">
        <v>41</v>
      </c>
    </row>
    <row r="53" spans="8:13" hidden="1" x14ac:dyDescent="0.25"/>
    <row r="54" spans="8:13" hidden="1" x14ac:dyDescent="0.25"/>
    <row r="55" spans="8:13" hidden="1" x14ac:dyDescent="0.25"/>
    <row r="56" spans="8:13" hidden="1" x14ac:dyDescent="0.25"/>
    <row r="57" spans="8:13" hidden="1" x14ac:dyDescent="0.25">
      <c r="H57" s="21"/>
      <c r="I57" s="21" t="s">
        <v>14</v>
      </c>
      <c r="J57" s="21" t="s">
        <v>15</v>
      </c>
      <c r="K57" s="21" t="s">
        <v>36</v>
      </c>
      <c r="L57" s="21" t="s">
        <v>37</v>
      </c>
      <c r="M57" s="32" t="s">
        <v>42</v>
      </c>
    </row>
    <row r="58" spans="8:13" hidden="1" x14ac:dyDescent="0.25">
      <c r="H58" s="3">
        <v>45843</v>
      </c>
      <c r="I58" s="46" t="s">
        <v>21</v>
      </c>
      <c r="J58" s="47" t="s">
        <v>12</v>
      </c>
      <c r="K58" s="46" t="s">
        <v>22</v>
      </c>
      <c r="L58" s="48" t="s">
        <v>30</v>
      </c>
    </row>
    <row r="59" spans="8:13" hidden="1" x14ac:dyDescent="0.25">
      <c r="H59" s="3">
        <v>45850</v>
      </c>
      <c r="I59" t="s">
        <v>13</v>
      </c>
      <c r="J59" t="s">
        <v>20</v>
      </c>
      <c r="K59" t="s">
        <v>21</v>
      </c>
      <c r="L59" t="s">
        <v>12</v>
      </c>
      <c r="M59" t="s">
        <v>38</v>
      </c>
    </row>
    <row r="60" spans="8:13" hidden="1" x14ac:dyDescent="0.25">
      <c r="H60" s="3">
        <v>45857</v>
      </c>
      <c r="I60" t="s">
        <v>22</v>
      </c>
      <c r="J60" t="s">
        <v>30</v>
      </c>
      <c r="K60" t="s">
        <v>13</v>
      </c>
      <c r="L60" t="s">
        <v>20</v>
      </c>
      <c r="M60" t="s">
        <v>39</v>
      </c>
    </row>
    <row r="61" spans="8:13" hidden="1" x14ac:dyDescent="0.25">
      <c r="H61" s="3">
        <v>45864</v>
      </c>
      <c r="I61" t="s">
        <v>21</v>
      </c>
      <c r="J61" t="s">
        <v>12</v>
      </c>
      <c r="K61" t="s">
        <v>22</v>
      </c>
      <c r="L61" t="s">
        <v>30</v>
      </c>
      <c r="M61" t="s">
        <v>40</v>
      </c>
    </row>
    <row r="62" spans="8:13" hidden="1" x14ac:dyDescent="0.25">
      <c r="H62" s="3">
        <v>45871</v>
      </c>
      <c r="I62" t="s">
        <v>13</v>
      </c>
      <c r="J62" t="s">
        <v>20</v>
      </c>
      <c r="K62" t="s">
        <v>21</v>
      </c>
      <c r="L62" t="s">
        <v>12</v>
      </c>
      <c r="M62" t="s">
        <v>38</v>
      </c>
    </row>
    <row r="63" spans="8:13" hidden="1" x14ac:dyDescent="0.25">
      <c r="M63" t="s">
        <v>41</v>
      </c>
    </row>
    <row r="64" spans="8:13" hidden="1" x14ac:dyDescent="0.25"/>
    <row r="69" spans="7:12" x14ac:dyDescent="0.25">
      <c r="G69">
        <v>5</v>
      </c>
      <c r="H69" s="32" t="s">
        <v>32</v>
      </c>
      <c r="I69" s="121" t="s">
        <v>21</v>
      </c>
      <c r="J69" s="122"/>
      <c r="K69" s="46" t="s">
        <v>22</v>
      </c>
    </row>
    <row r="70" spans="7:12" x14ac:dyDescent="0.25">
      <c r="G70">
        <v>12</v>
      </c>
      <c r="H70" s="32" t="s">
        <v>32</v>
      </c>
      <c r="I70" s="121" t="s">
        <v>20</v>
      </c>
      <c r="J70" s="122"/>
      <c r="K70" s="46" t="s">
        <v>44</v>
      </c>
    </row>
    <row r="71" spans="7:12" x14ac:dyDescent="0.25">
      <c r="G71">
        <v>19</v>
      </c>
      <c r="H71" s="32" t="s">
        <v>32</v>
      </c>
      <c r="I71" s="121" t="s">
        <v>13</v>
      </c>
      <c r="J71" s="122"/>
      <c r="K71" s="46" t="s">
        <v>12</v>
      </c>
    </row>
    <row r="72" spans="7:12" x14ac:dyDescent="0.25">
      <c r="G72">
        <v>26</v>
      </c>
      <c r="H72" s="32" t="s">
        <v>32</v>
      </c>
      <c r="I72" s="121" t="s">
        <v>22</v>
      </c>
      <c r="J72" s="122"/>
      <c r="K72" s="46" t="s">
        <v>44</v>
      </c>
    </row>
    <row r="73" spans="7:12" x14ac:dyDescent="0.25">
      <c r="G73">
        <v>2</v>
      </c>
      <c r="H73" s="32" t="s">
        <v>35</v>
      </c>
      <c r="I73" s="121" t="s">
        <v>20</v>
      </c>
      <c r="J73" s="122"/>
      <c r="K73" s="46" t="s">
        <v>21</v>
      </c>
      <c r="L73" t="s">
        <v>2</v>
      </c>
    </row>
    <row r="74" spans="7:12" x14ac:dyDescent="0.25">
      <c r="G74">
        <v>9</v>
      </c>
      <c r="H74" s="32" t="s">
        <v>35</v>
      </c>
      <c r="I74" s="118" t="s">
        <v>22</v>
      </c>
      <c r="J74" s="119"/>
      <c r="K74" s="46" t="s">
        <v>44</v>
      </c>
    </row>
    <row r="75" spans="7:12" x14ac:dyDescent="0.25">
      <c r="G75">
        <v>16</v>
      </c>
      <c r="H75" s="32" t="s">
        <v>35</v>
      </c>
      <c r="I75" s="121" t="s">
        <v>12</v>
      </c>
      <c r="J75" s="122"/>
      <c r="K75" s="46" t="s">
        <v>13</v>
      </c>
      <c r="L75" t="s">
        <v>45</v>
      </c>
    </row>
    <row r="76" spans="7:12" x14ac:dyDescent="0.25">
      <c r="G76">
        <v>23</v>
      </c>
      <c r="H76" s="32" t="s">
        <v>35</v>
      </c>
      <c r="I76" s="118" t="s">
        <v>21</v>
      </c>
      <c r="J76" s="119"/>
      <c r="K76" s="46" t="s">
        <v>44</v>
      </c>
    </row>
    <row r="77" spans="7:12" x14ac:dyDescent="0.25">
      <c r="G77">
        <v>30</v>
      </c>
      <c r="H77" s="32" t="s">
        <v>35</v>
      </c>
      <c r="I77" s="118" t="s">
        <v>12</v>
      </c>
      <c r="J77" s="119"/>
      <c r="K77" s="46" t="s">
        <v>20</v>
      </c>
    </row>
    <row r="78" spans="7:12" x14ac:dyDescent="0.25">
      <c r="G78">
        <v>6</v>
      </c>
      <c r="H78" s="32" t="s">
        <v>59</v>
      </c>
      <c r="I78" s="118" t="s">
        <v>13</v>
      </c>
      <c r="J78" s="119"/>
      <c r="K78" s="46" t="s">
        <v>22</v>
      </c>
    </row>
    <row r="79" spans="7:12" x14ac:dyDescent="0.25">
      <c r="G79">
        <v>13</v>
      </c>
      <c r="H79" s="32" t="s">
        <v>59</v>
      </c>
      <c r="I79" s="118" t="s">
        <v>21</v>
      </c>
      <c r="J79" s="119"/>
      <c r="K79" s="46" t="s">
        <v>44</v>
      </c>
    </row>
    <row r="80" spans="7:12" x14ac:dyDescent="0.25">
      <c r="G80">
        <v>20</v>
      </c>
      <c r="H80" s="32" t="s">
        <v>59</v>
      </c>
      <c r="I80" s="118" t="s">
        <v>13</v>
      </c>
      <c r="J80" s="119"/>
      <c r="K80" s="46" t="s">
        <v>12</v>
      </c>
    </row>
    <row r="81" spans="7:11" x14ac:dyDescent="0.25">
      <c r="G81">
        <v>27</v>
      </c>
      <c r="H81" s="32" t="s">
        <v>59</v>
      </c>
      <c r="I81" s="118" t="s">
        <v>44</v>
      </c>
      <c r="J81" s="119"/>
      <c r="K81" s="46" t="s">
        <v>22</v>
      </c>
    </row>
    <row r="82" spans="7:11" x14ac:dyDescent="0.25">
      <c r="G82">
        <v>4</v>
      </c>
      <c r="H82" s="32" t="s">
        <v>60</v>
      </c>
      <c r="I82" s="118" t="s">
        <v>12</v>
      </c>
      <c r="J82" s="119"/>
      <c r="K82" s="46" t="s">
        <v>21</v>
      </c>
    </row>
    <row r="83" spans="7:11" x14ac:dyDescent="0.25">
      <c r="G83">
        <v>11</v>
      </c>
      <c r="H83" s="32" t="s">
        <v>60</v>
      </c>
      <c r="I83" s="118" t="s">
        <v>13</v>
      </c>
      <c r="J83" s="119"/>
      <c r="K83" s="46" t="s">
        <v>44</v>
      </c>
    </row>
    <row r="84" spans="7:11" x14ac:dyDescent="0.25">
      <c r="G84">
        <v>18</v>
      </c>
      <c r="H84" s="32" t="s">
        <v>60</v>
      </c>
      <c r="I84" s="118" t="s">
        <v>21</v>
      </c>
      <c r="J84" s="119"/>
      <c r="K84" s="46" t="s">
        <v>22</v>
      </c>
    </row>
    <row r="85" spans="7:11" x14ac:dyDescent="0.25">
      <c r="G85">
        <v>25</v>
      </c>
      <c r="H85" s="32" t="s">
        <v>60</v>
      </c>
      <c r="I85" s="118" t="s">
        <v>12</v>
      </c>
      <c r="J85" s="119"/>
      <c r="K85" s="46" t="s">
        <v>44</v>
      </c>
    </row>
    <row r="86" spans="7:11" x14ac:dyDescent="0.25">
      <c r="G86">
        <v>1</v>
      </c>
      <c r="H86" s="32" t="s">
        <v>61</v>
      </c>
      <c r="I86" s="118" t="s">
        <v>22</v>
      </c>
      <c r="J86" s="119"/>
      <c r="K86" s="46" t="s">
        <v>13</v>
      </c>
    </row>
    <row r="87" spans="7:11" x14ac:dyDescent="0.25">
      <c r="G87">
        <v>8</v>
      </c>
      <c r="H87" s="32" t="s">
        <v>61</v>
      </c>
      <c r="I87" s="120" t="s">
        <v>20</v>
      </c>
      <c r="J87" s="119"/>
      <c r="K87" s="46" t="s">
        <v>44</v>
      </c>
    </row>
    <row r="88" spans="7:11" x14ac:dyDescent="0.25">
      <c r="G88">
        <v>15</v>
      </c>
      <c r="H88" s="32" t="s">
        <v>61</v>
      </c>
      <c r="I88" s="118" t="s">
        <v>12</v>
      </c>
      <c r="J88" s="120"/>
      <c r="K88" s="46" t="s">
        <v>21</v>
      </c>
    </row>
    <row r="89" spans="7:11" x14ac:dyDescent="0.25">
      <c r="G89">
        <v>22</v>
      </c>
      <c r="H89" s="32" t="s">
        <v>61</v>
      </c>
      <c r="I89" s="118" t="s">
        <v>65</v>
      </c>
      <c r="J89" s="119"/>
      <c r="K89" s="46" t="s">
        <v>62</v>
      </c>
    </row>
    <row r="90" spans="7:11" x14ac:dyDescent="0.25">
      <c r="G90">
        <v>29</v>
      </c>
      <c r="H90" s="32" t="s">
        <v>61</v>
      </c>
      <c r="I90" s="118" t="s">
        <v>66</v>
      </c>
      <c r="J90" s="119"/>
      <c r="K90" s="46" t="s">
        <v>22</v>
      </c>
    </row>
    <row r="91" spans="7:11" x14ac:dyDescent="0.25">
      <c r="G91">
        <v>6</v>
      </c>
      <c r="H91" s="32" t="s">
        <v>18</v>
      </c>
      <c r="I91" s="118" t="s">
        <v>20</v>
      </c>
      <c r="J91" s="120"/>
      <c r="K91" s="46" t="s">
        <v>67</v>
      </c>
    </row>
    <row r="92" spans="7:11" x14ac:dyDescent="0.25">
      <c r="G92">
        <v>13</v>
      </c>
      <c r="H92" s="32" t="s">
        <v>18</v>
      </c>
      <c r="I92" s="118" t="s">
        <v>21</v>
      </c>
      <c r="J92" s="120"/>
      <c r="K92" s="46" t="s">
        <v>68</v>
      </c>
    </row>
    <row r="93" spans="7:11" x14ac:dyDescent="0.25">
      <c r="G93">
        <v>20</v>
      </c>
      <c r="H93" s="32" t="s">
        <v>18</v>
      </c>
      <c r="I93" s="118" t="s">
        <v>69</v>
      </c>
      <c r="J93" s="120"/>
      <c r="K93" s="46" t="s">
        <v>44</v>
      </c>
    </row>
    <row r="94" spans="7:11" x14ac:dyDescent="0.25">
      <c r="G94">
        <v>27</v>
      </c>
      <c r="H94" s="32" t="s">
        <v>18</v>
      </c>
      <c r="I94" s="118" t="s">
        <v>22</v>
      </c>
      <c r="J94" s="120"/>
      <c r="K94" s="46" t="s">
        <v>13</v>
      </c>
    </row>
    <row r="95" spans="7:11" x14ac:dyDescent="0.25">
      <c r="G95">
        <v>3</v>
      </c>
      <c r="H95" s="32" t="s">
        <v>23</v>
      </c>
      <c r="I95" s="118" t="s">
        <v>12</v>
      </c>
      <c r="J95" s="120"/>
      <c r="K95" s="46" t="s">
        <v>69</v>
      </c>
    </row>
    <row r="96" spans="7:11" x14ac:dyDescent="0.25">
      <c r="G96">
        <v>10</v>
      </c>
      <c r="H96" s="32" t="s">
        <v>23</v>
      </c>
      <c r="I96" s="120" t="s">
        <v>22</v>
      </c>
      <c r="J96" s="119"/>
      <c r="K96" s="46" t="s">
        <v>21</v>
      </c>
    </row>
    <row r="97" spans="7:11" x14ac:dyDescent="0.25">
      <c r="G97">
        <v>17</v>
      </c>
      <c r="H97" s="32" t="s">
        <v>23</v>
      </c>
      <c r="I97" s="118" t="s">
        <v>70</v>
      </c>
      <c r="J97" s="119"/>
      <c r="K97" s="46" t="s">
        <v>44</v>
      </c>
    </row>
    <row r="98" spans="7:11" x14ac:dyDescent="0.25">
      <c r="G98">
        <v>24</v>
      </c>
      <c r="H98" s="32" t="s">
        <v>23</v>
      </c>
      <c r="I98" s="118" t="s">
        <v>69</v>
      </c>
      <c r="J98" s="119"/>
      <c r="K98" s="46" t="s">
        <v>22</v>
      </c>
    </row>
    <row r="99" spans="7:11" x14ac:dyDescent="0.25">
      <c r="G99">
        <v>31</v>
      </c>
      <c r="H99" s="32" t="s">
        <v>23</v>
      </c>
      <c r="I99" s="118" t="s">
        <v>13</v>
      </c>
      <c r="J99" s="119"/>
      <c r="K99" s="46" t="s">
        <v>44</v>
      </c>
    </row>
    <row r="100" spans="7:11" x14ac:dyDescent="0.25">
      <c r="G100">
        <v>7</v>
      </c>
      <c r="H100" s="32" t="s">
        <v>24</v>
      </c>
      <c r="I100" s="118" t="s">
        <v>71</v>
      </c>
      <c r="J100" s="119"/>
      <c r="K100" s="46" t="s">
        <v>22</v>
      </c>
    </row>
    <row r="101" spans="7:11" x14ac:dyDescent="0.25">
      <c r="G101">
        <v>14</v>
      </c>
      <c r="H101" s="32" t="s">
        <v>24</v>
      </c>
      <c r="I101" s="118" t="s">
        <v>12</v>
      </c>
      <c r="J101" s="119"/>
      <c r="K101" s="46" t="s">
        <v>44</v>
      </c>
    </row>
    <row r="102" spans="7:11" x14ac:dyDescent="0.25">
      <c r="G102">
        <v>21</v>
      </c>
      <c r="H102" s="32" t="s">
        <v>24</v>
      </c>
      <c r="I102" s="118" t="s">
        <v>21</v>
      </c>
      <c r="J102" s="119"/>
      <c r="K102" s="46" t="s">
        <v>72</v>
      </c>
    </row>
    <row r="103" spans="7:11" x14ac:dyDescent="0.25">
      <c r="G103">
        <v>28</v>
      </c>
      <c r="H103" s="32" t="s">
        <v>24</v>
      </c>
      <c r="I103" s="118" t="s">
        <v>12</v>
      </c>
      <c r="J103" s="119"/>
      <c r="K103" s="46" t="s">
        <v>44</v>
      </c>
    </row>
    <row r="104" spans="7:11" x14ac:dyDescent="0.25">
      <c r="G104">
        <v>7</v>
      </c>
      <c r="H104" s="32" t="s">
        <v>73</v>
      </c>
      <c r="I104" s="118" t="s">
        <v>22</v>
      </c>
      <c r="J104" s="120"/>
      <c r="K104" s="34" t="s">
        <v>70</v>
      </c>
    </row>
    <row r="105" spans="7:11" x14ac:dyDescent="0.25">
      <c r="G105">
        <v>14</v>
      </c>
      <c r="H105" s="32" t="s">
        <v>73</v>
      </c>
      <c r="I105" s="118" t="s">
        <v>21</v>
      </c>
      <c r="J105" s="120"/>
      <c r="K105" s="93" t="s">
        <v>44</v>
      </c>
    </row>
    <row r="106" spans="7:11" x14ac:dyDescent="0.25">
      <c r="G106">
        <v>21</v>
      </c>
      <c r="H106" s="32" t="s">
        <v>73</v>
      </c>
      <c r="I106" s="118" t="s">
        <v>12</v>
      </c>
      <c r="J106" s="120"/>
      <c r="K106" s="93" t="s">
        <v>22</v>
      </c>
    </row>
    <row r="107" spans="7:11" x14ac:dyDescent="0.25">
      <c r="G107">
        <v>28</v>
      </c>
      <c r="H107" s="32" t="s">
        <v>73</v>
      </c>
      <c r="I107" s="118" t="s">
        <v>70</v>
      </c>
      <c r="J107" s="120"/>
      <c r="K107" s="93" t="s">
        <v>44</v>
      </c>
    </row>
    <row r="108" spans="7:11" x14ac:dyDescent="0.25">
      <c r="G108">
        <v>4</v>
      </c>
      <c r="H108" s="32" t="s">
        <v>26</v>
      </c>
      <c r="I108" s="118" t="s">
        <v>12</v>
      </c>
      <c r="J108" s="120"/>
      <c r="K108" s="93" t="s">
        <v>21</v>
      </c>
    </row>
    <row r="109" spans="7:11" x14ac:dyDescent="0.25">
      <c r="G109">
        <v>11</v>
      </c>
      <c r="H109" s="32" t="s">
        <v>26</v>
      </c>
      <c r="I109" s="118" t="s">
        <v>22</v>
      </c>
      <c r="J109" s="120"/>
      <c r="K109" s="93" t="s">
        <v>44</v>
      </c>
    </row>
    <row r="110" spans="7:11" x14ac:dyDescent="0.25">
      <c r="G110">
        <v>18</v>
      </c>
      <c r="H110" s="32" t="s">
        <v>26</v>
      </c>
      <c r="I110" s="118" t="s">
        <v>75</v>
      </c>
      <c r="J110" s="120"/>
      <c r="K110" s="93" t="s">
        <v>12</v>
      </c>
    </row>
    <row r="111" spans="7:11" x14ac:dyDescent="0.25">
      <c r="G111">
        <v>25</v>
      </c>
      <c r="H111" s="32" t="s">
        <v>26</v>
      </c>
      <c r="I111" s="118" t="s">
        <v>21</v>
      </c>
      <c r="J111" s="120"/>
      <c r="K111" s="93" t="s">
        <v>44</v>
      </c>
    </row>
    <row r="112" spans="7:11" x14ac:dyDescent="0.25">
      <c r="G112">
        <v>2</v>
      </c>
      <c r="H112" s="32" t="s">
        <v>29</v>
      </c>
      <c r="I112" s="118" t="s">
        <v>12</v>
      </c>
      <c r="J112" s="120"/>
      <c r="K112" s="102" t="s">
        <v>76</v>
      </c>
    </row>
    <row r="113" spans="7:11" x14ac:dyDescent="0.25">
      <c r="G113">
        <v>9</v>
      </c>
      <c r="H113" t="s">
        <v>29</v>
      </c>
      <c r="I113" s="120" t="s">
        <v>22</v>
      </c>
      <c r="J113" s="120"/>
      <c r="K113" s="93" t="s">
        <v>44</v>
      </c>
    </row>
    <row r="114" spans="7:11" x14ac:dyDescent="0.25">
      <c r="G114">
        <v>16</v>
      </c>
      <c r="H114" t="s">
        <v>29</v>
      </c>
      <c r="I114" s="120" t="s">
        <v>77</v>
      </c>
      <c r="J114" s="120"/>
      <c r="K114" s="93" t="s">
        <v>21</v>
      </c>
    </row>
    <row r="115" spans="7:11" x14ac:dyDescent="0.25">
      <c r="G115">
        <v>23</v>
      </c>
      <c r="H115" t="s">
        <v>29</v>
      </c>
      <c r="I115" s="120" t="s">
        <v>12</v>
      </c>
      <c r="J115" s="120"/>
      <c r="K115" s="93" t="s">
        <v>44</v>
      </c>
    </row>
    <row r="116" spans="7:11" x14ac:dyDescent="0.25">
      <c r="G116">
        <v>30</v>
      </c>
      <c r="H116" t="s">
        <v>29</v>
      </c>
      <c r="I116" s="120" t="s">
        <v>77</v>
      </c>
      <c r="J116" s="120"/>
      <c r="K116" s="93" t="s">
        <v>22</v>
      </c>
    </row>
  </sheetData>
  <mergeCells count="48">
    <mergeCell ref="I113:J113"/>
    <mergeCell ref="I114:J114"/>
    <mergeCell ref="I115:J115"/>
    <mergeCell ref="I116:J116"/>
    <mergeCell ref="I106:J106"/>
    <mergeCell ref="I107:J107"/>
    <mergeCell ref="I108:J108"/>
    <mergeCell ref="I112:J112"/>
    <mergeCell ref="I109:J109"/>
    <mergeCell ref="I110:J110"/>
    <mergeCell ref="I111:J111"/>
    <mergeCell ref="I97:J97"/>
    <mergeCell ref="I98:J98"/>
    <mergeCell ref="I99:J99"/>
    <mergeCell ref="I104:J104"/>
    <mergeCell ref="I105:J105"/>
    <mergeCell ref="I100:J100"/>
    <mergeCell ref="I101:J101"/>
    <mergeCell ref="I102:J102"/>
    <mergeCell ref="I103:J103"/>
    <mergeCell ref="I74:J74"/>
    <mergeCell ref="I89:J89"/>
    <mergeCell ref="I90:J90"/>
    <mergeCell ref="I78:J78"/>
    <mergeCell ref="I79:J79"/>
    <mergeCell ref="I80:J80"/>
    <mergeCell ref="I81:J81"/>
    <mergeCell ref="I82:J82"/>
    <mergeCell ref="I88:J88"/>
    <mergeCell ref="I83:J83"/>
    <mergeCell ref="I84:J84"/>
    <mergeCell ref="I85:J85"/>
    <mergeCell ref="I86:J86"/>
    <mergeCell ref="I87:J87"/>
    <mergeCell ref="I75:J75"/>
    <mergeCell ref="I76:J76"/>
    <mergeCell ref="I69:J69"/>
    <mergeCell ref="I70:J70"/>
    <mergeCell ref="I71:J71"/>
    <mergeCell ref="I72:J72"/>
    <mergeCell ref="I73:J73"/>
    <mergeCell ref="I77:J77"/>
    <mergeCell ref="I96:J96"/>
    <mergeCell ref="I94:J94"/>
    <mergeCell ref="I93:J93"/>
    <mergeCell ref="I92:J92"/>
    <mergeCell ref="I91:J91"/>
    <mergeCell ref="I95:J95"/>
  </mergeCells>
  <phoneticPr fontId="11" type="noConversion"/>
  <conditionalFormatting sqref="O2:P2">
    <cfRule type="expression" dxfId="1028" priority="10587">
      <formula>AND(OR(O$13="Salida",O$13="Entrada"),#REF!="")</formula>
    </cfRule>
    <cfRule type="expression" dxfId="1027" priority="10588">
      <formula>AND(O$13="Salida",#REF!&lt;&gt;"")</formula>
    </cfRule>
    <cfRule type="expression" dxfId="1026" priority="10589">
      <formula>AND(O$13="Entrada",#REF!&lt;&gt;"")</formula>
    </cfRule>
  </conditionalFormatting>
  <conditionalFormatting sqref="O3:P5">
    <cfRule type="expression" dxfId="1025" priority="10590">
      <formula>AND(OR(O$11="Salida",O$11="Entrada"),#REF!="")</formula>
    </cfRule>
    <cfRule type="expression" dxfId="1024" priority="10591">
      <formula>AND(O$11="Salida",#REF!&lt;&gt;"")</formula>
    </cfRule>
    <cfRule type="expression" dxfId="1023" priority="10592">
      <formula>AND(O$11="Entrada",#REF!&lt;&gt;"")</formula>
    </cfRule>
  </conditionalFormatting>
  <conditionalFormatting sqref="O6:P6">
    <cfRule type="expression" dxfId="1022" priority="10593">
      <formula>AND(O$14="Salida",#REF!&lt;&gt;"")</formula>
    </cfRule>
    <cfRule type="expression" dxfId="1021" priority="10594">
      <formula>AND(O$14="Entrada",#REF!&lt;&gt;"")</formula>
    </cfRule>
    <cfRule type="expression" dxfId="1020" priority="10595">
      <formula>AND(OR(O$14="Salida",O$14="Entrada"),#REF!="")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42dbdfd-acf7-4171-b928-c845490c9787}" enabled="1" method="Standard" siteId="{7ac08c8d-539a-4f62-8400-c2fb65763a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Gina Paola_machote</vt:lpstr>
      <vt:lpstr>Horarios</vt:lpstr>
      <vt:lpstr>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Queren Pacheco Mestaller</dc:creator>
  <cp:keywords/>
  <dc:description/>
  <cp:lastModifiedBy>Alvaro Enrique  Cascante Moraga</cp:lastModifiedBy>
  <cp:revision/>
  <dcterms:created xsi:type="dcterms:W3CDTF">2024-12-23T21:52:14Z</dcterms:created>
  <dcterms:modified xsi:type="dcterms:W3CDTF">2026-05-25T23:55:54Z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2dbdfd-acf7-4171-b928-c845490c9787_Enabled">
    <vt:lpwstr>true</vt:lpwstr>
  </property>
  <property fmtid="{D5CDD505-2E9C-101B-9397-08002B2CF9AE}" pid="3" name="MSIP_Label_642dbdfd-acf7-4171-b928-c845490c9787_SetDate">
    <vt:lpwstr>2024-12-23T23:06:17Z</vt:lpwstr>
  </property>
  <property fmtid="{D5CDD505-2E9C-101B-9397-08002B2CF9AE}" pid="4" name="MSIP_Label_642dbdfd-acf7-4171-b928-c845490c9787_Method">
    <vt:lpwstr>Standard</vt:lpwstr>
  </property>
  <property fmtid="{D5CDD505-2E9C-101B-9397-08002B2CF9AE}" pid="5" name="MSIP_Label_642dbdfd-acf7-4171-b928-c845490c9787_Name">
    <vt:lpwstr>defa4170-0d19-0005-0000-bc88714345d2</vt:lpwstr>
  </property>
  <property fmtid="{D5CDD505-2E9C-101B-9397-08002B2CF9AE}" pid="6" name="MSIP_Label_642dbdfd-acf7-4171-b928-c845490c9787_SiteId">
    <vt:lpwstr>7ac08c8d-539a-4f62-8400-c2fb65763a9d</vt:lpwstr>
  </property>
  <property fmtid="{D5CDD505-2E9C-101B-9397-08002B2CF9AE}" pid="7" name="MSIP_Label_642dbdfd-acf7-4171-b928-c845490c9787_ActionId">
    <vt:lpwstr>97e1db09-872a-4057-91f0-b00bf8294c72</vt:lpwstr>
  </property>
  <property fmtid="{D5CDD505-2E9C-101B-9397-08002B2CF9AE}" pid="8" name="MSIP_Label_642dbdfd-acf7-4171-b928-c845490c9787_ContentBits">
    <vt:lpwstr>0</vt:lpwstr>
  </property>
</Properties>
</file>